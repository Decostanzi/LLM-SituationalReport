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van" sheetId="1" r:id="rId4"/>
    <sheet state="visible" name="Yelena" sheetId="2" r:id="rId5"/>
    <sheet state="visible" name="Kyriaki" sheetId="3" r:id="rId6"/>
    <sheet state="visible" name="Sheet1" sheetId="4" r:id="rId7"/>
  </sheets>
  <definedNames/>
  <calcPr/>
  <extLst>
    <ext uri="GoogleSheetsCustomDataVersion2">
      <go:sheetsCustomData xmlns:go="http://customooxmlschemas.google.com/" r:id="rId8" roundtripDataChecksum="4iT/4WzFWJi3Ct8XkAynGFq3mJQoova09ubLBFbwebc="/>
    </ext>
  </extLst>
</workbook>
</file>

<file path=xl/sharedStrings.xml><?xml version="1.0" encoding="utf-8"?>
<sst xmlns="http://schemas.openxmlformats.org/spreadsheetml/2006/main" count="3150" uniqueCount="239">
  <si>
    <t>ID</t>
  </si>
  <si>
    <t>Country</t>
  </si>
  <si>
    <t>Event</t>
  </si>
  <si>
    <t>Time</t>
  </si>
  <si>
    <t>Cluster_ID</t>
  </si>
  <si>
    <t>Question</t>
  </si>
  <si>
    <t>Relevance</t>
  </si>
  <si>
    <t>Political</t>
  </si>
  <si>
    <t>Long term</t>
  </si>
  <si>
    <t>Generality</t>
  </si>
  <si>
    <t>Keep the question</t>
  </si>
  <si>
    <t>Afghanistan</t>
  </si>
  <si>
    <t>Afghanistan Floods</t>
  </si>
  <si>
    <t>Week 21 2024</t>
  </si>
  <si>
    <t>1</t>
  </si>
  <si>
    <t>- What methodologies are being used by the Displacement Tracking Matrix (DTM) Afghanistan to quantify and understand mobility dynamics at Afghanistan's borders?</t>
  </si>
  <si>
    <t>Relevant</t>
  </si>
  <si>
    <t>Not too political</t>
  </si>
  <si>
    <t>Not long term</t>
  </si>
  <si>
    <t>Good</t>
  </si>
  <si>
    <t>Keep</t>
  </si>
  <si>
    <t>2</t>
  </si>
  <si>
    <t>6. What is the current status of the infrastructure, such as roads and bridges, in the affected provinces, and how is this impacting the delivery of humanitarian aid?</t>
  </si>
  <si>
    <t>5. What is the current status of health facilities in the flood-affected regions, and how are they coping with the increased demand for medical services?</t>
  </si>
  <si>
    <t>3</t>
  </si>
  <si>
    <t>1.  What is the total number of people affected by the floods in Afghanistan since the beginning of the year, and which provinces have been most severely impacted?</t>
  </si>
  <si>
    <t>Long term/historical</t>
  </si>
  <si>
    <t>Discard</t>
  </si>
  <si>
    <t>5.  What immediate interventions are UNICEF Emergency Response Teams implementing in the flood-affected areas, and what essential supplies are being provided?</t>
  </si>
  <si>
    <t>4</t>
  </si>
  <si>
    <t>4. How are the Mobile Health Teams (MHTs) addressing the maternal health and psychosocial support needs of women in Baghlan Province, and what challenges do they face in reaching affected communities?</t>
  </si>
  <si>
    <t>5</t>
  </si>
  <si>
    <t>5. What challenges are humanitarian partners facing in reaching vulnerable populations in flood-affected districts due to road damages, and what alternative transportation methods are being considered to overcome these challenges?</t>
  </si>
  <si>
    <t>5. What measures are being taken to prevent cholera outbreaks in internally displaced persons (IDP) camps in Afghanistan, and how are governance structures of IDP communities involved in these efforts?</t>
  </si>
  <si>
    <t>-1</t>
  </si>
  <si>
    <t>6. How is the "Goodness Train" initiative by Trkiye's Disaster and Emergency Management Authority (AFAD) contributing to the humanitarian response in Afghanistan, and what types of aid are being prioritized?</t>
  </si>
  <si>
    <t>5. What are the reported health impacts in flood-affected areas of Afghanistan, and how are organizations like the International Medical Corps addressing the increased cases of acute respiratory infections and waterborne diseases?</t>
  </si>
  <si>
    <t>Bangladesh</t>
  </si>
  <si>
    <t>Cyclone Remal</t>
  </si>
  <si>
    <t>0</t>
  </si>
  <si>
    <t>9. What are the potential consequences of the ICC's actions on international diplomatic efforts to resolve the conflict in Gaza?</t>
  </si>
  <si>
    <t>Not relevant</t>
  </si>
  <si>
    <t>Too political</t>
  </si>
  <si>
    <t>2. How has Bangladesh's role as a major contributor to UN peacekeeping missions been affected by allegations of human rights violations?</t>
  </si>
  <si>
    <t>8. What are the health implications of using saline water for cooking, drinking, and bathing in Khulna, as highlighted by the case of Khatun's chronic kidney disease?</t>
  </si>
  <si>
    <t>Too general/too specific</t>
  </si>
  <si>
    <t>7. What are the challenges faced by Rohingya refugees in Cox's Bazar regarding health and living conditions, as described in the text?</t>
  </si>
  <si>
    <t>8. What are the specific wind speed warnings for the Bay of Bengal and the coasts of Bangladesh and West Bengal during Cyclone Remal?</t>
  </si>
  <si>
    <t>4. What are the anticipated impacts of Cyclone Remal on the districts of South and North 24 Parganas in West Bengal?</t>
  </si>
  <si>
    <t>4. What types of medical supplies and logistics have been prepositioned in Bangladesh to address the potential impact of Cyclone Remal?</t>
  </si>
  <si>
    <t>1. What measures has the Bangladesh Meteorological Department (BMD) taken in response to Cyclone Remal, and what are the expected impacts on the coastal districts?</t>
  </si>
  <si>
    <t>4. How are local community-based groups and volunteers contributing to preparedness efforts for Cyclone Remal in Bangladesh?</t>
  </si>
  <si>
    <t xml:space="preserve">It may be a little bit long term </t>
  </si>
  <si>
    <t>6</t>
  </si>
  <si>
    <t>4. How have livestock conditions and diseases been affected by Cyclone Remal in Bangladesh, and what measures are being taken to address these issues?</t>
  </si>
  <si>
    <t>8. What has been the impact of Cyclone Remal on irrigation schemes in Bangladesh, and what percentage of these areas have been affected by flooding?</t>
  </si>
  <si>
    <t>7</t>
  </si>
  <si>
    <t>4. How has the World Food Programme (WFP) provided anticipatory cash assistance to families most at risk in Khulna and Barishal Division, and what are the intended uses of this cash?</t>
  </si>
  <si>
    <t>6. What cyclone signal has the Government of Bangladesh issued for Cyclone Remal, and what does this indicate about the storm's severity?</t>
  </si>
  <si>
    <t>8</t>
  </si>
  <si>
    <t>3. What challenges are highlighted in the report regarding the global humanitarian funding crisis, and how do these challenges specifically impact the response to Cyclone Remal in Bangladesh?</t>
  </si>
  <si>
    <t>Not sure it's long term</t>
  </si>
  <si>
    <t>9</t>
  </si>
  <si>
    <t>8. What are the implications of the externality-reinforcement effect on disaster risk reduction strategies in Bangladesh?</t>
  </si>
  <si>
    <t>6. What are the implications of the current gaps in early warning systems for cyclone preparedness in Bangladesh?</t>
  </si>
  <si>
    <t>Haiti</t>
  </si>
  <si>
    <t>Gang violence and humanitarian crisis in Haiti</t>
  </si>
  <si>
    <t>Week 40 2024</t>
  </si>
  <si>
    <t>6. How is the Haitian government planning to enhance the capacity and resources of the Haitian National Police to effectively respond to gang violence in the Artibonite department?</t>
  </si>
  <si>
    <t>- How are the host communities in Artibonite Department coping with the influx of 6,270 displaced individuals, and what support mechanisms are in place to assist them?</t>
  </si>
  <si>
    <t>1. What are the specific challenges faced by host communities in Haiti, particularly in terms of food shortages, healthcare facilities, and access to essential supplies, as reported by the International Organization for Migration (IOM)?</t>
  </si>
  <si>
    <t>6. How are local and international humanitarian organizations addressing the underfunding of the humanitarian response in Haiti, and what percentage of the required funding has been met to date?</t>
  </si>
  <si>
    <t>8. How are the protection and legal stay arrangements provided by countries in the Americas and beyond impacting Haitian refugees, and what gaps remain in these arrangements?</t>
  </si>
  <si>
    <t>6. How are host communities in Haiti coping with the influx of internally displaced persons, and what support do they require to continue their efforts?</t>
  </si>
  <si>
    <t>3. What are the key challenges faced by humanitarian agencies in delivering aid to communities affected by armed groups in Haiti, and how can international partners help overcome these obstacles?</t>
  </si>
  <si>
    <t>- How can humanitarian aid be optimized to address the potential food shortages resulting from gang-imposed roadblocks and reduced agricultural output?</t>
  </si>
  <si>
    <t>2. How are the current living conditions in displacement sites contributing to the increased risk of gender-based violence (GBV) for women and girls, and what immediate actions can be taken to improve safety and security in these areas?</t>
  </si>
  <si>
    <t>A little bit unrelated to the main event</t>
  </si>
  <si>
    <t>3. Given the reported 49% increase in GBV incidents in 2023, what targeted interventions are being prioritized by the United Nations Office for the Coordination of Humanitarian Affairs (OCHA) to support women and girls in Haiti?</t>
  </si>
  <si>
    <t>7. How is Project HOPE addressing the healthcare needs of communities affected by gang violence in the Sud and Grand'Anse departments, and what specific services are being provided to internally displaced persons?</t>
  </si>
  <si>
    <t>Long term because this project is an ongoing project</t>
  </si>
  <si>
    <t>- What measures are being taken to ensure the continued distribution of food and cash-based transfers (CBT) to internally displaced people (IDPs) and returnees in Port-au-Prince, given the ongoing gang violence and insecurity?</t>
  </si>
  <si>
    <t>13</t>
  </si>
  <si>
    <t>- What additional resources are required to support the increasing number of internally displaced persons (IDPs) in the Port-au-Prince Metropolitan Area?</t>
  </si>
  <si>
    <t>- What are the current capacities and limitations of the International Organization for Migration (IOM) in distributing shelter kits, kitchen kits, and non-food item (NFI) kits to displaced populations in Haiti?</t>
  </si>
  <si>
    <t>14</t>
  </si>
  <si>
    <t>2. How has the increase in gang violence in Haiti impacted the ability of humanitarian agencies to deliver aid and food supplies to those in need?</t>
  </si>
  <si>
    <t>1. What specific measures are being proposed by the coalition of humanitarian and development agencies, including Action Against Hunger and Save the Children, to address the acute food insecurity crisis in Haiti?</t>
  </si>
  <si>
    <t>15</t>
  </si>
  <si>
    <t>- What specific logistical challenges are causing the denial or delay of 85% of humanitarian movements coordinated with Israeli authorities in Gaza, and how can these be addressed to improve access?</t>
  </si>
  <si>
    <t>16</t>
  </si>
  <si>
    <t>2. How has the assassination of President Jovenel Moise in 2021 and the subsequent political instability contributed to the rise and empowerment of armed gangs in Haiti?</t>
  </si>
  <si>
    <t>1. What specific challenges have humanitarian responders faced in delivering aid due to the attacks on government infrastructure and public services by armed gangs in Haiti, particularly in the ZMPAP region?</t>
  </si>
  <si>
    <t>17</t>
  </si>
  <si>
    <t>5. How has the escalation of violence in Haiti since March 2024, including the attacks on prisons and the airport, impacted the displacement of children and their access to essential services such as education and healthcare?</t>
  </si>
  <si>
    <t>1. What specific measures can be taken to address the catastrophic levels of food insecurity affecting 6,000 individuals in Haiti, and how can international funding be effectively allocated to support a more resilient food system?</t>
  </si>
  <si>
    <t>India</t>
  </si>
  <si>
    <t>LandslideFloods</t>
  </si>
  <si>
    <t>Week 31 2024</t>
  </si>
  <si>
    <t>What role can international legal frameworks, such as the Fourth Geneva Convention, play in addressing the demographic changes in Kashmir ?</t>
  </si>
  <si>
    <t>What criteria are being used to prioritize the evacuation of individuals from affected areas to relief camps following monsoon landslides ?</t>
  </si>
  <si>
    <t>Besides the provided data, here are some strategic and tactical questions to analyze and address the humanitarian situation in Kerala : ?</t>
  </si>
  <si>
    <t>In what ways is Caritas India involving local communities in the assessment and planning of relief efforts to ensure culturally appropriate and sustainable interventions ?</t>
  </si>
  <si>
    <t>How is the predicted heavy rainfall in Kerala expected to impact ongoing relief efforts , and what measures are being taken to mitigate the effects ?</t>
  </si>
  <si>
    <t>How many people have been successfully rescued from the landslides and floods in Wayanad, Kerala , and what are the ongoing efforts to reach the still stranded ?</t>
  </si>
  <si>
    <t>What measures are being taken to ensure the safety of rescue teams and stranded individuals given the ongoing weather conditions in Kerala ?</t>
  </si>
  <si>
    <t>How is the rising water level in the Pin Parvati River impacting nearby communities and infrastructure ?</t>
  </si>
  <si>
    <t>What resources are being deployed to assist families affected by the fatalities and injuries in Delhi-NCR ?</t>
  </si>
  <si>
    <t>What are the key challenges in accurately determining the number of casualties due to the collapse of the main bridge linking the affected area to Chooralmala ?</t>
  </si>
  <si>
    <t>What are the immediate logistical challenges faced by rescue operations due to the collapse of the main bridge linking the affected area to Chooralmala?</t>
  </si>
  <si>
    <t>How is the red alert issued by the IMD affecting the ongoing rescue and relief operations in Kerala , and what contingency plans are in place to mitigate the impacts ?</t>
  </si>
  <si>
    <t>10</t>
  </si>
  <si>
    <t>How has the destruction of critical infrastructure, such as the washed-away bridge, impacted access to affected areas ?</t>
  </si>
  <si>
    <t>How many homes, shops, and vehicles have been destroyed in the affected areas of Wayanad, Kerala , and what is the estimated cost of the damage caused by the landslides ?</t>
  </si>
  <si>
    <t>11</t>
  </si>
  <si>
    <t>How are the rescue operations in Kerala being affected by the continuous heavy rains, and what strategies are being implemented to overcome the challenges ?</t>
  </si>
  <si>
    <t>What role is the Indian Meteorological Department playing in forecasting and alerting the public about the ongoing monsoon rains in Kerala, and how effective have the warnings been ?</t>
  </si>
  <si>
    <t>12</t>
  </si>
  <si>
    <t>How have recent natural disasters in India, described as some of the worst seen, affected local communities and what immediate relief efforts are necessary ?</t>
  </si>
  <si>
    <t>How have deforestation and development projects in India contributed to the increase in natural disasters such as floods and landslides?</t>
  </si>
  <si>
    <t>What specific recommendations from the Gadgil report could be implemented to manage fragile lands and prevent future disasters in Kerala ?</t>
  </si>
  <si>
    <t>Discard?</t>
  </si>
  <si>
    <t>What are the current challenges faced by the rescue teams in Kerala in accessing and evacuating affected areas ?</t>
  </si>
  <si>
    <t>How many individuals are currently hospitalized following the Kenya Landslide Disaster , and what is the capacity of local healthcare facilities to manage the influx of injured persons ?</t>
  </si>
  <si>
    <t>How are the Air Force helicopters and the 225 Army personnel being utilized in the rescue operations of the Kenya Landslide Disaster ?</t>
  </si>
  <si>
    <t>How many people are still unaccounted for in India , and what resources are needed to expedite the search and rescue operations ?</t>
  </si>
  <si>
    <t>Nigeria</t>
  </si>
  <si>
    <t>Flooding in Nigeria</t>
  </si>
  <si>
    <t>Week 37 2024</t>
  </si>
  <si>
    <t>What strategies can be implemented to repair and rebuild the 46% of partially damaged houses and the 18% that were destroyed due to the floods in Nigeria ?</t>
  </si>
  <si>
    <t xml:space="preserve">Maybe too specific? </t>
  </si>
  <si>
    <t>How many people have been displaced to the Muna IDP camp due to the recent floods, and what is the current capacity of the camp to accommodate additional IDPs ?</t>
  </si>
  <si>
    <t>How are the authorities addressing the issue of impassable roads to facilitate the delivery of aid and rescue operations in Borno State ?</t>
  </si>
  <si>
    <t>What are the immediate plans to repair or replace the damaged area of Borno State from the catastrophic flooding ?</t>
  </si>
  <si>
    <t>What are the immediate humanitarian needs identified in the Rapid Needs Assessment for the displaced households in Maiduguri camps ?</t>
  </si>
  <si>
    <t>What are the challenges faced by humanitarian agencies in accessing flood-affected areas ?</t>
  </si>
  <si>
    <t>Ukraine</t>
  </si>
  <si>
    <t>Ukraine-Russia war</t>
  </si>
  <si>
    <t>Week 23 2024</t>
  </si>
  <si>
    <t>1. What are the current legal challenges faced by owners of destroyed housing in temporarily occupied territories of Ukraine, and how do these challenges impact their ability to receive compensation through the eRecovery program?</t>
  </si>
  <si>
    <t>- How does the Emergency Telecommunications Cluster (ETC) plan to measure the long-term impact of the TESS training sessions on the effectiveness of UN security communications systems (SCS) in Ukraine?</t>
  </si>
  <si>
    <t>2. How has the destruction of the Kakhovka Dam on June 6, 2023, impacted the landscape and operations of humanitarian organizations like HALO in the Kherson region?</t>
  </si>
  <si>
    <t>6. How are local healthcare workers, such as those in the village of Virivka, adapting to the challenges posed by destroyed medical facilities and ongoing military conflict?</t>
  </si>
  <si>
    <t>- What measures are being taken to support Ukrainian women's rights and women-led organizations in driving efforts to meet the needs of vulnerable groups and survivors of gender-based violence?</t>
  </si>
  <si>
    <t>1. What are the specific indicators identified in the "Shelter Cluster Ukraine: HNRP 2024 Activities Handbook" for monitoring the effectiveness of emergency construction materials and emergency shelter kit (ESK) distribution?</t>
  </si>
  <si>
    <t>5. What strategies is the Norwegian Refugee Council (NRC) considering to address the needs of vulnerable refugees and host communities in the north region of Moldova before the next winter season?</t>
  </si>
  <si>
    <t>4. What were the key challenges faced by the Ukraine Red Cross Society (URCS) in achieving full cash readiness, and how did CashCap experts address these challenges?</t>
  </si>
  <si>
    <t>5. How did the CashCap initiative influence the Ukraine Red Cross Society's (URCS) role as the sole partner of the government in handling registration, payment, Post-Distribution Monitoring (PDM), and Community Engagement and Accountability (CEA)?</t>
  </si>
  <si>
    <t>7. What are the reported statistics on child casualties in Ukraine since the escalation of the conflict in February 2022, and how does the UN verify these figures?</t>
  </si>
  <si>
    <t>- How is the UN documenting and responding to the violations against Ukrainian children, and what support is being provided to affected families?</t>
  </si>
  <si>
    <t>Don't know if this is long term</t>
  </si>
  <si>
    <t>- How can the Multi-sector Needs Assessment (MSNA) data be used to develop targeted interventions that address the specific needs of different demographic groups in Ukraine, considering the intersectionality of gender and other vulnerabilities?</t>
  </si>
  <si>
    <t>- What specific vulnerabilities have been identified in the 2023 Multi-sector Needs Assessment (MSNA) regarding gender, disability, and displacement in Ukraine, and how do these intersect to exacerbate humanitarian needs?</t>
  </si>
  <si>
    <t>- What are the specific challenges faced by military administrations in pre-determining evacuation routes and transit hubs in Donetska oblast, and how are these being addressed?</t>
  </si>
  <si>
    <t>- What measures are being implemented to ensure the continuity of education for children in Kharkivska oblast amid disruptions caused by missile attacks and infrastructure damage?</t>
  </si>
  <si>
    <t>United Kingdom</t>
  </si>
  <si>
    <t>UK riots</t>
  </si>
  <si>
    <t>Week 32 2024</t>
  </si>
  <si>
    <t>5. What are the implications of using live facial recognition technology in public spaces in the UK, and how does this practice align with existing legal frameworks and public accountability measures?</t>
  </si>
  <si>
    <t>2. How has the response from law enforcement, including the deployment of 6,000 specialist police officers, impacted the level of violence and disorder during the recent far-right riots in the UK?</t>
  </si>
  <si>
    <t>2. How has the UK government responded to Elon Musk's comments regarding a "civil war," and what actions, if any, have been proposed to address the spread of such rhetoric online?</t>
  </si>
  <si>
    <t>2. How has the British government's response, including the establishment of a "standing army" of specialist police, impacted the scale and intensity of the riots?</t>
  </si>
  <si>
    <t>3. In what ways have the recent riots in Britain differed in scope and intensity from past incidents, such as the 2022 petrol bomb attack on a Dover immigration centre?</t>
  </si>
  <si>
    <t>- How can community leaders and organizations counteract the influence of extremist narratives that exploit disillusionment and scapegoat minority groups?</t>
  </si>
  <si>
    <t>- What measures can be implemented to ensure the safety and well-being of Muslims and minority ethnic communities in London amidst rising fears of racism and violence?</t>
  </si>
  <si>
    <t>6. How have recent riots and protests challenged Britain's multi-ethnic identity, and what insights does Dame Sara Khan provide regarding the political context of these events?</t>
  </si>
  <si>
    <t>4. How has the UK government coordinated with local authorities and community leaders to ensure the protection of targeted buildings and places of worship during the riots?</t>
  </si>
  <si>
    <t>- How is the FSAC addressing the potential impact of negative land surface temperatures (LST) on vegetation and soil moisture in Afghanistan?</t>
  </si>
  <si>
    <t>- What impact has the appreciation of the Afghani (AFN) against the US Dollar (USD) had on the purchasing power of households in Afghanistan, particularly in relation to food security?</t>
  </si>
  <si>
    <t>9. What are the key challenges facing the next Iranian President in terms of economic, social, and geopolitical issues?</t>
  </si>
  <si>
    <t>"as described in the text" is weird</t>
  </si>
  <si>
    <t>7. How does the Grand Bargain agreement emphasize the importance of localization in the humanitarian response to Cyclone Remal in Bangladesh?</t>
  </si>
  <si>
    <t>4. How is the Common Feedback Platform (CFP) contributing to the accountability and improvement of humanitarian programs in Cox's Bazar, Bangladesh, in response to Cyclone Remal?</t>
  </si>
  <si>
    <t>3. What role is the United Nations Human Rights Office (OHCHR) playing in response to the gang violence in Haiti, and what support are they providing to local authorities?</t>
  </si>
  <si>
    <t>1. What are the primary factors contributing to the severe food insecurity experienced by families in Haiti, as described in the text?</t>
  </si>
  <si>
    <t>3. What are the key protection risks faced by internally displaced persons (IDPs) in Port-au-Prince and Ouanaminthe, and how is the UNHCR working to mitigate these risks?</t>
  </si>
  <si>
    <t>- What measures are currently in place to protect children from recruitment by gangs in Port-au-Prince, and how effective have they been?</t>
  </si>
  <si>
    <t>5. How is the Haitian government planning to restructure existing operations with the World Bank to deliver targeted and timely results in communities affected by gang violence?</t>
  </si>
  <si>
    <t>3. What are the outcomes of WFP's screening of 12,439 children for malnutrition, and how effective have the referrals to health facilities been in treating the 1,486 identified as moderately malnourished?</t>
  </si>
  <si>
    <t>1. What immediate humanitarian needs have been identified in Pont-Sond, Haiti, following the recent attack, and how can aid organizations prioritize their response to address these needs effectively?</t>
  </si>
  <si>
    <t>5. How are local and international entities, such as the European Union and the UN Human Rights Office, coordinating their efforts to respond to the escalating violence in Haiti, and what additional support is needed?</t>
  </si>
  <si>
    <t>3. What specific actions are being taken by humanitarian organizations to overcome the blockade of supplies from southern Haiti, and how effective have these actions been?</t>
  </si>
  <si>
    <t>6. What progress has been made by the Kenyan police contingent in Haiti since their deployment, and what additional resources are needed to achieve the mission's objectives?</t>
  </si>
  <si>
    <t>- What strategies can be employed to ensure the protection of civilians in Gaza, in accordance with international humanitarian law, amidst ongoing hostilities?</t>
  </si>
  <si>
    <t>1. What specific measures has the Multinational Security Support Mission (MSS) in Haiti implemented to prioritize and mainstream the protection of children during its operations, as per the Security Council's Resolution 2751 (2024)?</t>
  </si>
  <si>
    <t>6. How is the Multinational Security Support (MSS) mission contributing to re-establishing security in Haiti, and what are the expected outcomes of extending its mandate until October 2025?</t>
  </si>
  <si>
    <t>What evidence does Prime Minister Holness provide to illustrate the increasing frequency of major weather events in Jamaica ?</t>
  </si>
  <si>
    <t>In what ways does Prime Minister Holness believe global awareness can help Jamaicans address local challenges ?</t>
  </si>
  <si>
    <t>What specific types of assistance has Prime Minister Narendra Modi assured the Kerala government to help with the landslide situation?</t>
  </si>
  <si>
    <t>What are the main challenges faced by rescue operations in the aftermath of the landslides in Wayanad district ?</t>
  </si>
  <si>
    <t>What are the key sectoral needs identified in the Displacement Tracking Matrix (DTM) assessment, and how can these be prioritized in the humanitarian response ?</t>
  </si>
  <si>
    <t>How can the humanitarian response be tailored to address the needs of those dependent on petty trade and firewood collection, which are also significant income sources in Nigeria ?</t>
  </si>
  <si>
    <t>What is the estimated economic loss due to the destruction of 110,000 hectares of farmland in Borno State ?</t>
  </si>
  <si>
    <t>How many people have been successfully rescued from flood-affected areas in Nigeria , and what resources are currently deployed in ongoing rescue operations ?</t>
  </si>
  <si>
    <t>How many additional resources (e.g., boats, canoes, divers) are needed to expedite the ongoing rescue operations in the affected areas ?</t>
  </si>
  <si>
    <t>6. In what ways are the services and housing stock in Ukraine's Oblasts under stress due to increased demand, and how does this relate to the regions where the Government of Ukraine (GoU) is regaining control?</t>
  </si>
  <si>
    <t>- What specific new practical skills did participants gain from the Telecommunications Security Standards (TESS) training sessions, and how are these skills expected to improve their work in UN field offices?</t>
  </si>
  <si>
    <t>4. How is the shortage of drinking water being addressed in the communities along the Inhulets River, and what role do volunteers play in the distribution of water and medical supplies?</t>
  </si>
  <si>
    <t>6. How does the emotional impact of past flooding events, such as the destruction of the Kakhovka hydroelectric power station, affect the mental health of residents in the affected areas, and what support is available to them?</t>
  </si>
  <si>
    <t>- What strategies are in place to address the displacement of unexploded ordnance (UXO) in the Mykolaiv region following the floods, and how are these efforts being prioritized to ensure civilian safety?</t>
  </si>
  <si>
    <t>- How are humanitarian organizations coordinating with HALO teams to resume operations in flood-affected minefield areas in Mykolaiv oblast?</t>
  </si>
  <si>
    <t>2. How are UN agencies and Romanian authorities collaborating to provide daily services to approximately 250 Ukrainian refugees at the integrated service hub in RomExpo, Bucharest?</t>
  </si>
  <si>
    <t>- What strategies are in place to ensure the safety and security of evacuees and humanitarian workers in the Donetska oblast, considering the recommendation to switch to online formats due to security risks?</t>
  </si>
  <si>
    <t>I don't understand this question</t>
  </si>
  <si>
    <t>2. How does the level of awareness of protection services differ between households with and without a member with a disability, and what specific services show the greatest disparity?</t>
  </si>
  <si>
    <t>- What specific support is being provided to teachers in Kharkivska oblast who are affected by escalations and displacement?</t>
  </si>
  <si>
    <t>5. How have anti-immigration protesters and counter-protesters reacted to Elon Musk's comments, and what are the implications of these reactions for community relations and public safety in affected areas like Sheffield and Rotherham?</t>
  </si>
  <si>
    <t>3. What measures have been taken by the UK government and law enforcement to address the violence and prevent further unrest, and how effective have these measures been?</t>
  </si>
  <si>
    <t>3.  What specific protection challenges do Afghan returnees face upon their return, particularly in terms of food security, financial aid, and housing, as identified by the Multi-Sectoral Rapid Needs Assessment Teams (MRAT)?</t>
  </si>
  <si>
    <t>1. What are the specific medical and technical support needs identified by the WHO (World Health Organization) assessment teams in Ghor Province, and how are they being addressed?</t>
  </si>
  <si>
    <t>4. How are the humanitarian needs of the displaced populations in Bangladesh being addressed in the aftermath of Cyclone Remal?</t>
  </si>
  <si>
    <t>7. How is the Bangladesh government addressing potential health risks associated with overcrowding in cyclone shelters during Cyclone Remal?</t>
  </si>
  <si>
    <t>it's not too political but not too impolitical either.</t>
  </si>
  <si>
    <t>1. What measures are being taken to address the acute food insecurity faced by 14.6 million individuals in Bangladesh as reported in the April 2024 Integrated Food Security Phase Classification (IPC) report?</t>
  </si>
  <si>
    <t>8. How does the lack of access to markets exacerbate the food insecurity situation for displaced individuals like Alexandra in Port-au-Prince?</t>
  </si>
  <si>
    <t>- How are the 88 individuals staying with host families in La Chapelle, Montrouis, Petite Rivière de l'Artibonite, and Saint-Marc being supported, and what additional resources are required to sustain these arrangements?</t>
  </si>
  <si>
    <t>we don't know where it is</t>
  </si>
  <si>
    <t>1. What specific measures can be implemented to ensure safe and consistent road access for humanitarian aid delivery in areas of Haiti controlled by armed gangs, particularly in Port-au-Prince?</t>
  </si>
  <si>
    <t>1. What specific measures are being taken by the Haitian authorities to investigate the gang violence incidents, and how are they ensuring accountability and reparations for victims and their families?</t>
  </si>
  <si>
    <t>How effective have international appeals and reports been in influencing India's policies and actions regarding human rights in Kashmir ?</t>
  </si>
  <si>
    <t>What are the key lessons learned from previous natural disasters in Kerala ?</t>
  </si>
  <si>
    <t>What is the current status of the affected population on Union Island, Canouan, and Mayreau following Hurricane Beryl, and how many people are currently residing in government shelters ?</t>
  </si>
  <si>
    <t>How are the 118 relief camps across Kerala being managed to ensure adequate shelter, food, and medical aid for the 5,531 people currently accommodated in the relief camps ?</t>
  </si>
  <si>
    <t>What are some strategic and tactical questions to analyze and address the humanitarian situation in Nigeria due to severe flooding ?</t>
  </si>
  <si>
    <t>How are water-borne diseases being monitored and controlled in the affected areas in Nigeria ?</t>
  </si>
  <si>
    <t>2. What specific challenges are being addressed by the 50 organizations, including national child protection authorities, in providing access to rights and services for unaccompanied and separated children in Romania?</t>
  </si>
  <si>
    <t>may be relevant to the conflict but also not</t>
  </si>
  <si>
    <t>- How is the destruction of infrastructure impacting agricultural production, and what are the proposed solutions to overcome these challenges?</t>
  </si>
  <si>
    <t>- What measures can be taken to address the underfunding and lack of attention to the fruit and vegetable, dairy, poultry, and honey sectors in Ukraine's rural areas?</t>
  </si>
  <si>
    <t>- How can the Ukrainian government and international community ensure that sustainable reconstruction efforts are prioritized despite the ongoing conflict and associated unpredictability?</t>
  </si>
  <si>
    <t>6. How does the Slovak social protection system support households with a member with a disability, and what are the reported gaps in this support?</t>
  </si>
  <si>
    <t>4. How is the UK government planning to implement judicial processes for the removal of harmful online content, and what are the expected challenges in balancing this with lawful free expression?</t>
  </si>
  <si>
    <t>4. How are anti-racism and counter-protest movements organizing in response to the far-right riots, and what impact have these movements had on reducing violence and promoting community unity?</t>
  </si>
  <si>
    <t>1. What role did the adoption of far-right rhetoric by politicians and media play in the recent riots and protests in the United Kingdom, according to the situational report?</t>
  </si>
  <si>
    <t>Ivan</t>
  </si>
  <si>
    <t>Yelena</t>
  </si>
  <si>
    <t>Kyriaki</t>
  </si>
  <si>
    <t>Shuffle</t>
  </si>
  <si>
    <t>x</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</si>
</sst>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horizontal="center" vertical="top"/>
    </xf>
    <xf borderId="0" fillId="0" fontId="2" numFmtId="0" xfId="0" applyAlignment="1" applyFont="1">
      <alignment horizontal="center" shrinkToFit="0" vertical="top" wrapText="1"/>
    </xf>
    <xf borderId="0" fillId="0" fontId="1" numFmtId="0" xfId="0" applyAlignment="1" applyFont="1">
      <alignment readingOrder="0"/>
    </xf>
    <xf borderId="1" fillId="0" fontId="1" numFmtId="0" xfId="0" applyBorder="1" applyFont="1"/>
    <xf borderId="1" fillId="0" fontId="1" numFmtId="0" xfId="0" applyAlignment="1" applyBorder="1" applyFont="1">
      <alignment shrinkToFit="0" wrapText="1"/>
    </xf>
    <xf borderId="1" fillId="0" fontId="2" numFmtId="0" xfId="0" applyAlignment="1" applyBorder="1" applyFont="1">
      <alignment horizontal="center" vertical="top"/>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1"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83.71"/>
  </cols>
  <sheetData>
    <row r="1">
      <c r="A1" s="1" t="s">
        <v>0</v>
      </c>
      <c r="B1" s="2" t="s">
        <v>1</v>
      </c>
      <c r="C1" s="2" t="s">
        <v>2</v>
      </c>
      <c r="D1" s="2" t="s">
        <v>3</v>
      </c>
      <c r="E1" s="2" t="s">
        <v>4</v>
      </c>
      <c r="F1" s="3" t="s">
        <v>5</v>
      </c>
      <c r="G1" s="4" t="s">
        <v>6</v>
      </c>
      <c r="H1" s="4" t="s">
        <v>7</v>
      </c>
      <c r="I1" s="4" t="s">
        <v>8</v>
      </c>
      <c r="J1" s="4" t="s">
        <v>9</v>
      </c>
      <c r="K1" s="4" t="s">
        <v>10</v>
      </c>
    </row>
    <row r="2">
      <c r="A2" s="2">
        <v>3.0</v>
      </c>
      <c r="B2" s="5" t="s">
        <v>11</v>
      </c>
      <c r="C2" s="5" t="s">
        <v>12</v>
      </c>
      <c r="D2" s="5" t="s">
        <v>13</v>
      </c>
      <c r="E2" s="5" t="s">
        <v>14</v>
      </c>
      <c r="F2" s="6" t="s">
        <v>15</v>
      </c>
      <c r="G2" s="4" t="s">
        <v>16</v>
      </c>
      <c r="H2" s="4" t="s">
        <v>17</v>
      </c>
      <c r="I2" s="4" t="s">
        <v>18</v>
      </c>
      <c r="J2" s="4" t="s">
        <v>19</v>
      </c>
      <c r="K2" s="4" t="s">
        <v>20</v>
      </c>
    </row>
    <row r="3">
      <c r="A3" s="7">
        <v>4.0</v>
      </c>
      <c r="B3" s="8" t="s">
        <v>11</v>
      </c>
      <c r="C3" s="8" t="s">
        <v>12</v>
      </c>
      <c r="D3" s="8" t="s">
        <v>13</v>
      </c>
      <c r="E3" s="8" t="s">
        <v>21</v>
      </c>
      <c r="F3" s="9" t="s">
        <v>22</v>
      </c>
      <c r="G3" s="4" t="s">
        <v>16</v>
      </c>
      <c r="H3" s="4" t="s">
        <v>17</v>
      </c>
      <c r="I3" s="4" t="s">
        <v>18</v>
      </c>
      <c r="J3" s="4" t="s">
        <v>19</v>
      </c>
      <c r="K3" s="4" t="s">
        <v>20</v>
      </c>
    </row>
    <row r="4">
      <c r="A4" s="7">
        <v>5.0</v>
      </c>
      <c r="B4" s="8" t="s">
        <v>11</v>
      </c>
      <c r="C4" s="8" t="s">
        <v>12</v>
      </c>
      <c r="D4" s="8" t="s">
        <v>13</v>
      </c>
      <c r="E4" s="8" t="s">
        <v>21</v>
      </c>
      <c r="F4" s="9" t="s">
        <v>23</v>
      </c>
      <c r="G4" s="4" t="s">
        <v>16</v>
      </c>
      <c r="H4" s="4" t="s">
        <v>17</v>
      </c>
      <c r="I4" s="4" t="s">
        <v>18</v>
      </c>
      <c r="J4" s="4" t="s">
        <v>19</v>
      </c>
      <c r="K4" s="4" t="s">
        <v>20</v>
      </c>
    </row>
    <row r="5">
      <c r="A5" s="7">
        <v>6.0</v>
      </c>
      <c r="B5" s="8" t="s">
        <v>11</v>
      </c>
      <c r="C5" s="8" t="s">
        <v>12</v>
      </c>
      <c r="D5" s="8" t="s">
        <v>13</v>
      </c>
      <c r="E5" s="8" t="s">
        <v>24</v>
      </c>
      <c r="F5" s="10" t="s">
        <v>25</v>
      </c>
      <c r="G5" s="4" t="s">
        <v>16</v>
      </c>
      <c r="H5" s="4" t="s">
        <v>17</v>
      </c>
      <c r="I5" s="4" t="s">
        <v>26</v>
      </c>
      <c r="J5" s="4" t="s">
        <v>19</v>
      </c>
      <c r="K5" s="4" t="s">
        <v>27</v>
      </c>
    </row>
    <row r="6">
      <c r="A6" s="7">
        <v>7.0</v>
      </c>
      <c r="B6" s="8" t="s">
        <v>11</v>
      </c>
      <c r="C6" s="8" t="s">
        <v>12</v>
      </c>
      <c r="D6" s="8" t="s">
        <v>13</v>
      </c>
      <c r="E6" s="8" t="s">
        <v>24</v>
      </c>
      <c r="F6" s="10" t="s">
        <v>28</v>
      </c>
      <c r="G6" s="4" t="s">
        <v>16</v>
      </c>
      <c r="H6" s="4" t="s">
        <v>17</v>
      </c>
      <c r="I6" s="4" t="s">
        <v>18</v>
      </c>
      <c r="J6" s="4" t="s">
        <v>19</v>
      </c>
      <c r="K6" s="4" t="s">
        <v>20</v>
      </c>
    </row>
    <row r="7">
      <c r="A7" s="7">
        <v>9.0</v>
      </c>
      <c r="B7" s="8" t="s">
        <v>11</v>
      </c>
      <c r="C7" s="8" t="s">
        <v>12</v>
      </c>
      <c r="D7" s="8" t="s">
        <v>13</v>
      </c>
      <c r="E7" s="8" t="s">
        <v>29</v>
      </c>
      <c r="F7" s="9" t="s">
        <v>30</v>
      </c>
      <c r="G7" s="4" t="s">
        <v>16</v>
      </c>
      <c r="H7" s="4" t="s">
        <v>17</v>
      </c>
      <c r="I7" s="4" t="s">
        <v>18</v>
      </c>
      <c r="J7" s="4" t="s">
        <v>19</v>
      </c>
      <c r="K7" s="4" t="s">
        <v>20</v>
      </c>
    </row>
    <row r="8">
      <c r="A8" s="7">
        <v>10.0</v>
      </c>
      <c r="B8" s="8" t="s">
        <v>11</v>
      </c>
      <c r="C8" s="8" t="s">
        <v>12</v>
      </c>
      <c r="D8" s="8" t="s">
        <v>13</v>
      </c>
      <c r="E8" s="8" t="s">
        <v>31</v>
      </c>
      <c r="F8" s="9" t="s">
        <v>32</v>
      </c>
      <c r="G8" s="4" t="s">
        <v>16</v>
      </c>
      <c r="H8" s="4" t="s">
        <v>17</v>
      </c>
      <c r="I8" s="4" t="s">
        <v>18</v>
      </c>
      <c r="J8" s="4" t="s">
        <v>19</v>
      </c>
      <c r="K8" s="4" t="s">
        <v>20</v>
      </c>
    </row>
    <row r="9">
      <c r="A9" s="7">
        <v>11.0</v>
      </c>
      <c r="B9" s="8" t="s">
        <v>11</v>
      </c>
      <c r="C9" s="8" t="s">
        <v>12</v>
      </c>
      <c r="D9" s="8" t="s">
        <v>13</v>
      </c>
      <c r="E9" s="8" t="s">
        <v>31</v>
      </c>
      <c r="F9" s="9" t="s">
        <v>33</v>
      </c>
      <c r="G9" s="4" t="s">
        <v>16</v>
      </c>
      <c r="H9" s="4" t="s">
        <v>17</v>
      </c>
      <c r="I9" s="4" t="s">
        <v>18</v>
      </c>
      <c r="J9" s="4" t="s">
        <v>19</v>
      </c>
      <c r="K9" s="4" t="s">
        <v>20</v>
      </c>
    </row>
    <row r="10">
      <c r="A10" s="7">
        <v>12.0</v>
      </c>
      <c r="B10" s="8" t="s">
        <v>11</v>
      </c>
      <c r="C10" s="8" t="s">
        <v>12</v>
      </c>
      <c r="D10" s="8" t="s">
        <v>13</v>
      </c>
      <c r="E10" s="8" t="s">
        <v>34</v>
      </c>
      <c r="F10" s="9" t="s">
        <v>35</v>
      </c>
      <c r="G10" s="4" t="s">
        <v>16</v>
      </c>
      <c r="H10" s="4" t="s">
        <v>17</v>
      </c>
      <c r="I10" s="4" t="s">
        <v>18</v>
      </c>
      <c r="J10" s="4" t="s">
        <v>19</v>
      </c>
      <c r="K10" s="4" t="s">
        <v>20</v>
      </c>
    </row>
    <row r="11">
      <c r="A11" s="7">
        <v>13.0</v>
      </c>
      <c r="B11" s="8" t="s">
        <v>11</v>
      </c>
      <c r="C11" s="8" t="s">
        <v>12</v>
      </c>
      <c r="D11" s="8" t="s">
        <v>13</v>
      </c>
      <c r="E11" s="8" t="s">
        <v>34</v>
      </c>
      <c r="F11" s="9" t="s">
        <v>36</v>
      </c>
      <c r="G11" s="4" t="s">
        <v>16</v>
      </c>
      <c r="H11" s="4" t="s">
        <v>17</v>
      </c>
      <c r="I11" s="4" t="s">
        <v>18</v>
      </c>
      <c r="J11" s="4" t="s">
        <v>19</v>
      </c>
      <c r="K11" s="4" t="s">
        <v>20</v>
      </c>
    </row>
    <row r="12">
      <c r="A12" s="7">
        <v>14.0</v>
      </c>
      <c r="B12" s="8" t="s">
        <v>37</v>
      </c>
      <c r="C12" s="8" t="s">
        <v>38</v>
      </c>
      <c r="D12" s="8" t="s">
        <v>13</v>
      </c>
      <c r="E12" s="8" t="s">
        <v>39</v>
      </c>
      <c r="F12" s="9" t="s">
        <v>40</v>
      </c>
      <c r="G12" s="4" t="s">
        <v>41</v>
      </c>
      <c r="H12" s="4" t="s">
        <v>42</v>
      </c>
      <c r="I12" s="4" t="s">
        <v>26</v>
      </c>
      <c r="J12" s="4" t="s">
        <v>19</v>
      </c>
      <c r="K12" s="4" t="s">
        <v>27</v>
      </c>
    </row>
    <row r="13">
      <c r="A13" s="7">
        <v>16.0</v>
      </c>
      <c r="B13" s="8" t="s">
        <v>37</v>
      </c>
      <c r="C13" s="8" t="s">
        <v>38</v>
      </c>
      <c r="D13" s="8" t="s">
        <v>13</v>
      </c>
      <c r="E13" s="8" t="s">
        <v>14</v>
      </c>
      <c r="F13" s="9" t="s">
        <v>43</v>
      </c>
      <c r="G13" s="4" t="s">
        <v>16</v>
      </c>
      <c r="H13" s="4" t="s">
        <v>42</v>
      </c>
      <c r="I13" s="4" t="s">
        <v>18</v>
      </c>
      <c r="J13" s="4" t="s">
        <v>19</v>
      </c>
      <c r="K13" s="4" t="s">
        <v>27</v>
      </c>
    </row>
    <row r="14">
      <c r="A14" s="7">
        <v>18.0</v>
      </c>
      <c r="B14" s="8" t="s">
        <v>37</v>
      </c>
      <c r="C14" s="8" t="s">
        <v>38</v>
      </c>
      <c r="D14" s="8" t="s">
        <v>13</v>
      </c>
      <c r="E14" s="8" t="s">
        <v>21</v>
      </c>
      <c r="F14" s="9" t="s">
        <v>44</v>
      </c>
      <c r="G14" s="4" t="s">
        <v>41</v>
      </c>
      <c r="H14" s="4" t="s">
        <v>17</v>
      </c>
      <c r="I14" s="4" t="s">
        <v>18</v>
      </c>
      <c r="J14" s="4" t="s">
        <v>45</v>
      </c>
      <c r="K14" s="4" t="s">
        <v>27</v>
      </c>
    </row>
    <row r="15">
      <c r="A15" s="7">
        <v>19.0</v>
      </c>
      <c r="B15" s="8" t="s">
        <v>37</v>
      </c>
      <c r="C15" s="8" t="s">
        <v>38</v>
      </c>
      <c r="D15" s="8" t="s">
        <v>13</v>
      </c>
      <c r="E15" s="8" t="s">
        <v>21</v>
      </c>
      <c r="F15" s="9" t="s">
        <v>46</v>
      </c>
      <c r="G15" s="4" t="s">
        <v>16</v>
      </c>
      <c r="H15" s="4" t="s">
        <v>17</v>
      </c>
      <c r="I15" s="4" t="s">
        <v>18</v>
      </c>
      <c r="J15" s="4" t="s">
        <v>19</v>
      </c>
      <c r="K15" s="4" t="s">
        <v>20</v>
      </c>
    </row>
    <row r="16">
      <c r="A16" s="7">
        <v>20.0</v>
      </c>
      <c r="B16" s="8" t="s">
        <v>37</v>
      </c>
      <c r="C16" s="8" t="s">
        <v>38</v>
      </c>
      <c r="D16" s="8" t="s">
        <v>13</v>
      </c>
      <c r="E16" s="8" t="s">
        <v>24</v>
      </c>
      <c r="F16" s="9" t="s">
        <v>47</v>
      </c>
      <c r="G16" s="4" t="s">
        <v>16</v>
      </c>
      <c r="H16" s="4" t="s">
        <v>17</v>
      </c>
      <c r="I16" s="4" t="s">
        <v>18</v>
      </c>
      <c r="J16" s="4" t="s">
        <v>45</v>
      </c>
      <c r="K16" s="4" t="s">
        <v>27</v>
      </c>
    </row>
    <row r="17">
      <c r="A17" s="7">
        <v>21.0</v>
      </c>
      <c r="B17" s="8" t="s">
        <v>37</v>
      </c>
      <c r="C17" s="8" t="s">
        <v>38</v>
      </c>
      <c r="D17" s="8" t="s">
        <v>13</v>
      </c>
      <c r="E17" s="8" t="s">
        <v>24</v>
      </c>
      <c r="F17" s="9" t="s">
        <v>48</v>
      </c>
      <c r="G17" s="4" t="s">
        <v>16</v>
      </c>
      <c r="H17" s="4" t="s">
        <v>17</v>
      </c>
      <c r="I17" s="4" t="s">
        <v>26</v>
      </c>
      <c r="J17" s="4" t="s">
        <v>19</v>
      </c>
      <c r="K17" s="4" t="s">
        <v>27</v>
      </c>
    </row>
    <row r="18">
      <c r="A18" s="7">
        <v>22.0</v>
      </c>
      <c r="B18" s="8" t="s">
        <v>37</v>
      </c>
      <c r="C18" s="8" t="s">
        <v>38</v>
      </c>
      <c r="D18" s="8" t="s">
        <v>13</v>
      </c>
      <c r="E18" s="8" t="s">
        <v>29</v>
      </c>
      <c r="F18" s="9" t="s">
        <v>49</v>
      </c>
      <c r="G18" s="4" t="s">
        <v>16</v>
      </c>
      <c r="H18" s="4" t="s">
        <v>17</v>
      </c>
      <c r="I18" s="4" t="s">
        <v>18</v>
      </c>
      <c r="J18" s="4" t="s">
        <v>19</v>
      </c>
      <c r="K18" s="4" t="s">
        <v>20</v>
      </c>
    </row>
    <row r="19">
      <c r="A19" s="7">
        <v>24.0</v>
      </c>
      <c r="B19" s="8" t="s">
        <v>37</v>
      </c>
      <c r="C19" s="8" t="s">
        <v>38</v>
      </c>
      <c r="D19" s="8" t="s">
        <v>13</v>
      </c>
      <c r="E19" s="8" t="s">
        <v>31</v>
      </c>
      <c r="F19" s="9" t="s">
        <v>50</v>
      </c>
      <c r="G19" s="4" t="s">
        <v>16</v>
      </c>
      <c r="H19" s="4" t="s">
        <v>17</v>
      </c>
      <c r="I19" s="4" t="s">
        <v>18</v>
      </c>
      <c r="J19" s="4" t="s">
        <v>19</v>
      </c>
      <c r="K19" s="4" t="s">
        <v>20</v>
      </c>
    </row>
    <row r="20">
      <c r="A20" s="7">
        <v>25.0</v>
      </c>
      <c r="B20" s="8" t="s">
        <v>37</v>
      </c>
      <c r="C20" s="8" t="s">
        <v>38</v>
      </c>
      <c r="D20" s="8" t="s">
        <v>13</v>
      </c>
      <c r="E20" s="8" t="s">
        <v>31</v>
      </c>
      <c r="F20" s="9" t="s">
        <v>51</v>
      </c>
      <c r="G20" s="4" t="s">
        <v>16</v>
      </c>
      <c r="H20" s="4" t="s">
        <v>17</v>
      </c>
      <c r="I20" s="4" t="s">
        <v>18</v>
      </c>
      <c r="J20" s="4" t="s">
        <v>19</v>
      </c>
      <c r="K20" s="4" t="s">
        <v>20</v>
      </c>
      <c r="L20" s="4" t="s">
        <v>52</v>
      </c>
    </row>
    <row r="21">
      <c r="A21" s="7">
        <v>26.0</v>
      </c>
      <c r="B21" s="8" t="s">
        <v>37</v>
      </c>
      <c r="C21" s="8" t="s">
        <v>38</v>
      </c>
      <c r="D21" s="8" t="s">
        <v>13</v>
      </c>
      <c r="E21" s="8" t="s">
        <v>53</v>
      </c>
      <c r="F21" s="9" t="s">
        <v>54</v>
      </c>
      <c r="G21" s="4" t="s">
        <v>16</v>
      </c>
      <c r="H21" s="4" t="s">
        <v>17</v>
      </c>
      <c r="I21" s="4" t="s">
        <v>18</v>
      </c>
      <c r="J21" s="4" t="s">
        <v>19</v>
      </c>
      <c r="K21" s="4" t="s">
        <v>20</v>
      </c>
    </row>
    <row r="22">
      <c r="A22" s="7">
        <v>27.0</v>
      </c>
      <c r="B22" s="8" t="s">
        <v>37</v>
      </c>
      <c r="C22" s="8" t="s">
        <v>38</v>
      </c>
      <c r="D22" s="8" t="s">
        <v>13</v>
      </c>
      <c r="E22" s="8" t="s">
        <v>53</v>
      </c>
      <c r="F22" s="9" t="s">
        <v>55</v>
      </c>
      <c r="G22" s="4" t="s">
        <v>16</v>
      </c>
      <c r="H22" s="4" t="s">
        <v>17</v>
      </c>
      <c r="I22" s="4" t="s">
        <v>18</v>
      </c>
      <c r="J22" s="4" t="s">
        <v>19</v>
      </c>
      <c r="K22" s="4" t="s">
        <v>20</v>
      </c>
    </row>
    <row r="23">
      <c r="A23" s="7">
        <v>28.0</v>
      </c>
      <c r="B23" s="8" t="s">
        <v>37</v>
      </c>
      <c r="C23" s="8" t="s">
        <v>38</v>
      </c>
      <c r="D23" s="8" t="s">
        <v>13</v>
      </c>
      <c r="E23" s="8" t="s">
        <v>56</v>
      </c>
      <c r="F23" s="9" t="s">
        <v>57</v>
      </c>
      <c r="G23" s="4" t="s">
        <v>16</v>
      </c>
      <c r="H23" s="4" t="s">
        <v>17</v>
      </c>
      <c r="I23" s="4" t="s">
        <v>18</v>
      </c>
      <c r="J23" s="4" t="s">
        <v>19</v>
      </c>
      <c r="K23" s="4" t="s">
        <v>20</v>
      </c>
    </row>
    <row r="24">
      <c r="A24" s="7">
        <v>29.0</v>
      </c>
      <c r="B24" s="8" t="s">
        <v>37</v>
      </c>
      <c r="C24" s="8" t="s">
        <v>38</v>
      </c>
      <c r="D24" s="8" t="s">
        <v>13</v>
      </c>
      <c r="E24" s="8" t="s">
        <v>56</v>
      </c>
      <c r="F24" s="9" t="s">
        <v>58</v>
      </c>
      <c r="G24" s="4" t="s">
        <v>16</v>
      </c>
      <c r="H24" s="4" t="s">
        <v>17</v>
      </c>
      <c r="I24" s="4" t="s">
        <v>26</v>
      </c>
      <c r="J24" s="4" t="s">
        <v>19</v>
      </c>
      <c r="K24" s="4" t="s">
        <v>27</v>
      </c>
    </row>
    <row r="25">
      <c r="A25" s="7">
        <v>31.0</v>
      </c>
      <c r="B25" s="8" t="s">
        <v>37</v>
      </c>
      <c r="C25" s="8" t="s">
        <v>38</v>
      </c>
      <c r="D25" s="8" t="s">
        <v>13</v>
      </c>
      <c r="E25" s="8" t="s">
        <v>59</v>
      </c>
      <c r="F25" s="9" t="s">
        <v>60</v>
      </c>
      <c r="G25" s="4" t="s">
        <v>16</v>
      </c>
      <c r="H25" s="4" t="s">
        <v>17</v>
      </c>
      <c r="I25" s="4" t="s">
        <v>18</v>
      </c>
      <c r="J25" s="4" t="s">
        <v>19</v>
      </c>
      <c r="K25" s="4" t="s">
        <v>20</v>
      </c>
      <c r="L25" s="4" t="s">
        <v>61</v>
      </c>
    </row>
    <row r="26">
      <c r="A26" s="7">
        <v>32.0</v>
      </c>
      <c r="B26" s="8" t="s">
        <v>37</v>
      </c>
      <c r="C26" s="8" t="s">
        <v>38</v>
      </c>
      <c r="D26" s="8" t="s">
        <v>13</v>
      </c>
      <c r="E26" s="8" t="s">
        <v>62</v>
      </c>
      <c r="F26" s="9" t="s">
        <v>63</v>
      </c>
      <c r="G26" s="4" t="s">
        <v>16</v>
      </c>
      <c r="H26" s="4" t="s">
        <v>17</v>
      </c>
      <c r="I26" s="4" t="s">
        <v>18</v>
      </c>
      <c r="J26" s="4" t="s">
        <v>19</v>
      </c>
      <c r="K26" s="4" t="s">
        <v>20</v>
      </c>
    </row>
    <row r="27">
      <c r="A27" s="7">
        <v>33.0</v>
      </c>
      <c r="B27" s="8" t="s">
        <v>37</v>
      </c>
      <c r="C27" s="8" t="s">
        <v>38</v>
      </c>
      <c r="D27" s="8" t="s">
        <v>13</v>
      </c>
      <c r="E27" s="8" t="s">
        <v>62</v>
      </c>
      <c r="F27" s="9" t="s">
        <v>64</v>
      </c>
      <c r="G27" s="4" t="s">
        <v>16</v>
      </c>
      <c r="H27" s="4" t="s">
        <v>17</v>
      </c>
      <c r="I27" s="4" t="s">
        <v>26</v>
      </c>
      <c r="J27" s="4" t="s">
        <v>19</v>
      </c>
      <c r="K27" s="4" t="s">
        <v>27</v>
      </c>
    </row>
    <row r="28">
      <c r="A28" s="7">
        <v>37.0</v>
      </c>
      <c r="B28" s="8" t="s">
        <v>65</v>
      </c>
      <c r="C28" s="8" t="s">
        <v>66</v>
      </c>
      <c r="D28" s="8" t="s">
        <v>67</v>
      </c>
      <c r="E28" s="8" t="s">
        <v>39</v>
      </c>
      <c r="F28" s="9" t="s">
        <v>68</v>
      </c>
      <c r="G28" s="4" t="s">
        <v>16</v>
      </c>
      <c r="H28" s="4" t="s">
        <v>17</v>
      </c>
      <c r="I28" s="4" t="s">
        <v>18</v>
      </c>
      <c r="J28" s="4" t="s">
        <v>19</v>
      </c>
      <c r="K28" s="4" t="s">
        <v>20</v>
      </c>
      <c r="L28" s="4" t="s">
        <v>61</v>
      </c>
    </row>
    <row r="29">
      <c r="A29" s="7">
        <v>41.0</v>
      </c>
      <c r="B29" s="8" t="s">
        <v>65</v>
      </c>
      <c r="C29" s="8" t="s">
        <v>66</v>
      </c>
      <c r="D29" s="8" t="s">
        <v>67</v>
      </c>
      <c r="E29" s="8" t="s">
        <v>21</v>
      </c>
      <c r="F29" s="9" t="s">
        <v>69</v>
      </c>
      <c r="G29" s="4" t="s">
        <v>16</v>
      </c>
      <c r="H29" s="4" t="s">
        <v>17</v>
      </c>
      <c r="I29" s="4" t="s">
        <v>18</v>
      </c>
      <c r="J29" s="4" t="s">
        <v>19</v>
      </c>
      <c r="K29" s="4" t="s">
        <v>20</v>
      </c>
    </row>
    <row r="30">
      <c r="A30" s="7">
        <v>42.0</v>
      </c>
      <c r="B30" s="8" t="s">
        <v>65</v>
      </c>
      <c r="C30" s="8" t="s">
        <v>66</v>
      </c>
      <c r="D30" s="8" t="s">
        <v>67</v>
      </c>
      <c r="E30" s="8" t="s">
        <v>24</v>
      </c>
      <c r="F30" s="9" t="s">
        <v>70</v>
      </c>
      <c r="G30" s="4" t="s">
        <v>16</v>
      </c>
      <c r="H30" s="4" t="s">
        <v>17</v>
      </c>
      <c r="I30" s="4" t="s">
        <v>18</v>
      </c>
      <c r="J30" s="4" t="s">
        <v>19</v>
      </c>
      <c r="K30" s="4" t="s">
        <v>20</v>
      </c>
    </row>
    <row r="31">
      <c r="A31" s="7">
        <v>43.0</v>
      </c>
      <c r="B31" s="8" t="s">
        <v>65</v>
      </c>
      <c r="C31" s="8" t="s">
        <v>66</v>
      </c>
      <c r="D31" s="8" t="s">
        <v>67</v>
      </c>
      <c r="E31" s="8" t="s">
        <v>24</v>
      </c>
      <c r="F31" s="9" t="s">
        <v>71</v>
      </c>
      <c r="G31" s="4" t="s">
        <v>16</v>
      </c>
      <c r="H31" s="4" t="s">
        <v>17</v>
      </c>
      <c r="I31" s="4" t="s">
        <v>18</v>
      </c>
      <c r="J31" s="4" t="s">
        <v>19</v>
      </c>
      <c r="K31" s="4" t="s">
        <v>20</v>
      </c>
    </row>
    <row r="32">
      <c r="A32" s="7">
        <v>44.0</v>
      </c>
      <c r="B32" s="8" t="s">
        <v>65</v>
      </c>
      <c r="C32" s="8" t="s">
        <v>66</v>
      </c>
      <c r="D32" s="8" t="s">
        <v>67</v>
      </c>
      <c r="E32" s="8" t="s">
        <v>29</v>
      </c>
      <c r="F32" s="9" t="s">
        <v>72</v>
      </c>
      <c r="G32" s="4" t="s">
        <v>16</v>
      </c>
      <c r="H32" s="4" t="s">
        <v>17</v>
      </c>
      <c r="I32" s="4" t="s">
        <v>18</v>
      </c>
      <c r="J32" s="4" t="s">
        <v>19</v>
      </c>
      <c r="K32" s="4" t="s">
        <v>20</v>
      </c>
    </row>
    <row r="33">
      <c r="A33" s="7">
        <v>45.0</v>
      </c>
      <c r="B33" s="8" t="s">
        <v>65</v>
      </c>
      <c r="C33" s="8" t="s">
        <v>66</v>
      </c>
      <c r="D33" s="8" t="s">
        <v>67</v>
      </c>
      <c r="E33" s="8" t="s">
        <v>29</v>
      </c>
      <c r="F33" s="9" t="s">
        <v>73</v>
      </c>
      <c r="G33" s="4" t="s">
        <v>16</v>
      </c>
      <c r="H33" s="4" t="s">
        <v>17</v>
      </c>
      <c r="I33" s="4" t="s">
        <v>18</v>
      </c>
      <c r="J33" s="4" t="s">
        <v>19</v>
      </c>
      <c r="K33" s="4" t="s">
        <v>20</v>
      </c>
    </row>
    <row r="34">
      <c r="A34" s="7">
        <v>46.0</v>
      </c>
      <c r="B34" s="8" t="s">
        <v>65</v>
      </c>
      <c r="C34" s="8" t="s">
        <v>66</v>
      </c>
      <c r="D34" s="8" t="s">
        <v>67</v>
      </c>
      <c r="E34" s="8" t="s">
        <v>31</v>
      </c>
      <c r="F34" s="9" t="s">
        <v>74</v>
      </c>
      <c r="G34" s="4" t="s">
        <v>16</v>
      </c>
      <c r="H34" s="4" t="s">
        <v>17</v>
      </c>
      <c r="I34" s="4" t="s">
        <v>18</v>
      </c>
      <c r="J34" s="4" t="s">
        <v>19</v>
      </c>
      <c r="K34" s="4" t="s">
        <v>20</v>
      </c>
    </row>
    <row r="35">
      <c r="A35" s="7">
        <v>49.0</v>
      </c>
      <c r="B35" s="8" t="s">
        <v>65</v>
      </c>
      <c r="C35" s="8" t="s">
        <v>66</v>
      </c>
      <c r="D35" s="8" t="s">
        <v>67</v>
      </c>
      <c r="E35" s="8" t="s">
        <v>53</v>
      </c>
      <c r="F35" s="9" t="s">
        <v>75</v>
      </c>
      <c r="G35" s="4" t="s">
        <v>16</v>
      </c>
      <c r="H35" s="4" t="s">
        <v>17</v>
      </c>
      <c r="I35" s="4" t="s">
        <v>18</v>
      </c>
      <c r="J35" s="4" t="s">
        <v>19</v>
      </c>
      <c r="K35" s="4" t="s">
        <v>20</v>
      </c>
    </row>
    <row r="36">
      <c r="A36" s="7">
        <v>50.0</v>
      </c>
      <c r="B36" s="8" t="s">
        <v>65</v>
      </c>
      <c r="C36" s="8" t="s">
        <v>66</v>
      </c>
      <c r="D36" s="8" t="s">
        <v>67</v>
      </c>
      <c r="E36" s="8" t="s">
        <v>56</v>
      </c>
      <c r="F36" s="9" t="s">
        <v>76</v>
      </c>
      <c r="G36" s="4" t="s">
        <v>41</v>
      </c>
      <c r="H36" s="4" t="s">
        <v>17</v>
      </c>
      <c r="I36" s="4" t="s">
        <v>18</v>
      </c>
      <c r="J36" s="4" t="s">
        <v>19</v>
      </c>
      <c r="K36" s="4" t="s">
        <v>27</v>
      </c>
      <c r="L36" s="4" t="s">
        <v>77</v>
      </c>
    </row>
    <row r="37">
      <c r="A37" s="7">
        <v>51.0</v>
      </c>
      <c r="B37" s="8" t="s">
        <v>65</v>
      </c>
      <c r="C37" s="8" t="s">
        <v>66</v>
      </c>
      <c r="D37" s="8" t="s">
        <v>67</v>
      </c>
      <c r="E37" s="8" t="s">
        <v>56</v>
      </c>
      <c r="F37" s="9" t="s">
        <v>78</v>
      </c>
      <c r="G37" s="4" t="s">
        <v>16</v>
      </c>
      <c r="H37" s="4" t="s">
        <v>17</v>
      </c>
      <c r="I37" s="4" t="s">
        <v>18</v>
      </c>
      <c r="J37" s="4" t="s">
        <v>19</v>
      </c>
      <c r="K37" s="4" t="s">
        <v>20</v>
      </c>
    </row>
    <row r="38">
      <c r="A38" s="7">
        <v>52.0</v>
      </c>
      <c r="B38" s="8" t="s">
        <v>65</v>
      </c>
      <c r="C38" s="8" t="s">
        <v>66</v>
      </c>
      <c r="D38" s="8" t="s">
        <v>67</v>
      </c>
      <c r="E38" s="8" t="s">
        <v>59</v>
      </c>
      <c r="F38" s="9" t="s">
        <v>79</v>
      </c>
      <c r="G38" s="4" t="s">
        <v>16</v>
      </c>
      <c r="H38" s="4" t="s">
        <v>17</v>
      </c>
      <c r="I38" s="4" t="s">
        <v>26</v>
      </c>
      <c r="J38" s="4" t="s">
        <v>19</v>
      </c>
      <c r="K38" s="4" t="s">
        <v>27</v>
      </c>
      <c r="L38" s="4" t="s">
        <v>80</v>
      </c>
    </row>
    <row r="39">
      <c r="A39" s="7">
        <v>55.0</v>
      </c>
      <c r="B39" s="8" t="s">
        <v>65</v>
      </c>
      <c r="C39" s="8" t="s">
        <v>66</v>
      </c>
      <c r="D39" s="8" t="s">
        <v>67</v>
      </c>
      <c r="E39" s="8" t="s">
        <v>62</v>
      </c>
      <c r="F39" s="9" t="s">
        <v>81</v>
      </c>
      <c r="G39" s="4" t="s">
        <v>16</v>
      </c>
      <c r="H39" s="4" t="s">
        <v>17</v>
      </c>
      <c r="I39" s="4" t="s">
        <v>26</v>
      </c>
      <c r="J39" s="4" t="s">
        <v>19</v>
      </c>
      <c r="K39" s="4" t="s">
        <v>27</v>
      </c>
      <c r="L39" s="4" t="s">
        <v>80</v>
      </c>
    </row>
    <row r="40">
      <c r="A40" s="7">
        <v>62.0</v>
      </c>
      <c r="B40" s="8" t="s">
        <v>65</v>
      </c>
      <c r="C40" s="8" t="s">
        <v>66</v>
      </c>
      <c r="D40" s="8" t="s">
        <v>67</v>
      </c>
      <c r="E40" s="8" t="s">
        <v>82</v>
      </c>
      <c r="F40" s="9" t="s">
        <v>83</v>
      </c>
      <c r="G40" s="4" t="s">
        <v>16</v>
      </c>
      <c r="H40" s="4" t="s">
        <v>17</v>
      </c>
      <c r="I40" s="4" t="s">
        <v>18</v>
      </c>
      <c r="J40" s="4" t="s">
        <v>19</v>
      </c>
      <c r="K40" s="4" t="s">
        <v>20</v>
      </c>
    </row>
    <row r="41">
      <c r="A41" s="7">
        <v>63.0</v>
      </c>
      <c r="B41" s="8" t="s">
        <v>65</v>
      </c>
      <c r="C41" s="8" t="s">
        <v>66</v>
      </c>
      <c r="D41" s="8" t="s">
        <v>67</v>
      </c>
      <c r="E41" s="8" t="s">
        <v>82</v>
      </c>
      <c r="F41" s="9" t="s">
        <v>84</v>
      </c>
      <c r="G41" s="4" t="s">
        <v>16</v>
      </c>
      <c r="H41" s="4" t="s">
        <v>17</v>
      </c>
      <c r="I41" s="4" t="s">
        <v>18</v>
      </c>
      <c r="J41" s="4" t="s">
        <v>19</v>
      </c>
      <c r="K41" s="4" t="s">
        <v>20</v>
      </c>
    </row>
    <row r="42">
      <c r="A42" s="7">
        <v>64.0</v>
      </c>
      <c r="B42" s="8" t="s">
        <v>65</v>
      </c>
      <c r="C42" s="8" t="s">
        <v>66</v>
      </c>
      <c r="D42" s="8" t="s">
        <v>67</v>
      </c>
      <c r="E42" s="8" t="s">
        <v>85</v>
      </c>
      <c r="F42" s="9" t="s">
        <v>86</v>
      </c>
      <c r="G42" s="4" t="s">
        <v>16</v>
      </c>
      <c r="H42" s="4" t="s">
        <v>17</v>
      </c>
      <c r="I42" s="4" t="s">
        <v>18</v>
      </c>
      <c r="J42" s="4" t="s">
        <v>19</v>
      </c>
      <c r="K42" s="4" t="s">
        <v>20</v>
      </c>
    </row>
    <row r="43">
      <c r="A43" s="7">
        <v>65.0</v>
      </c>
      <c r="B43" s="8" t="s">
        <v>65</v>
      </c>
      <c r="C43" s="8" t="s">
        <v>66</v>
      </c>
      <c r="D43" s="8" t="s">
        <v>67</v>
      </c>
      <c r="E43" s="8" t="s">
        <v>85</v>
      </c>
      <c r="F43" s="9" t="s">
        <v>87</v>
      </c>
      <c r="G43" s="4" t="s">
        <v>16</v>
      </c>
      <c r="H43" s="4" t="s">
        <v>17</v>
      </c>
      <c r="I43" s="4" t="s">
        <v>18</v>
      </c>
      <c r="J43" s="4" t="s">
        <v>19</v>
      </c>
      <c r="K43" s="4" t="s">
        <v>20</v>
      </c>
    </row>
    <row r="44">
      <c r="A44" s="7">
        <v>66.0</v>
      </c>
      <c r="B44" s="8" t="s">
        <v>65</v>
      </c>
      <c r="C44" s="8" t="s">
        <v>66</v>
      </c>
      <c r="D44" s="8" t="s">
        <v>67</v>
      </c>
      <c r="E44" s="8" t="s">
        <v>88</v>
      </c>
      <c r="F44" s="9" t="s">
        <v>89</v>
      </c>
      <c r="G44" s="4" t="s">
        <v>41</v>
      </c>
      <c r="H44" s="4" t="s">
        <v>42</v>
      </c>
      <c r="I44" s="4" t="s">
        <v>18</v>
      </c>
      <c r="J44" s="4" t="s">
        <v>19</v>
      </c>
      <c r="K44" s="4" t="s">
        <v>27</v>
      </c>
    </row>
    <row r="45">
      <c r="A45" s="7">
        <v>68.0</v>
      </c>
      <c r="B45" s="8" t="s">
        <v>65</v>
      </c>
      <c r="C45" s="8" t="s">
        <v>66</v>
      </c>
      <c r="D45" s="8" t="s">
        <v>67</v>
      </c>
      <c r="E45" s="8" t="s">
        <v>90</v>
      </c>
      <c r="F45" s="9" t="s">
        <v>91</v>
      </c>
      <c r="G45" s="4" t="s">
        <v>16</v>
      </c>
      <c r="H45" s="4" t="s">
        <v>42</v>
      </c>
      <c r="I45" s="4" t="s">
        <v>26</v>
      </c>
      <c r="J45" s="4" t="s">
        <v>19</v>
      </c>
      <c r="K45" s="4" t="s">
        <v>27</v>
      </c>
    </row>
    <row r="46">
      <c r="A46" s="7">
        <v>69.0</v>
      </c>
      <c r="B46" s="8" t="s">
        <v>65</v>
      </c>
      <c r="C46" s="8" t="s">
        <v>66</v>
      </c>
      <c r="D46" s="8" t="s">
        <v>67</v>
      </c>
      <c r="E46" s="8" t="s">
        <v>90</v>
      </c>
      <c r="F46" s="9" t="s">
        <v>92</v>
      </c>
      <c r="G46" s="4" t="s">
        <v>16</v>
      </c>
      <c r="H46" s="4" t="s">
        <v>17</v>
      </c>
      <c r="I46" s="4" t="s">
        <v>18</v>
      </c>
      <c r="J46" s="4" t="s">
        <v>19</v>
      </c>
      <c r="K46" s="4" t="s">
        <v>20</v>
      </c>
    </row>
    <row r="47">
      <c r="A47" s="7">
        <v>70.0</v>
      </c>
      <c r="B47" s="8" t="s">
        <v>65</v>
      </c>
      <c r="C47" s="8" t="s">
        <v>66</v>
      </c>
      <c r="D47" s="8" t="s">
        <v>67</v>
      </c>
      <c r="E47" s="8" t="s">
        <v>93</v>
      </c>
      <c r="F47" s="9" t="s">
        <v>94</v>
      </c>
      <c r="G47" s="4" t="s">
        <v>16</v>
      </c>
      <c r="H47" s="4" t="s">
        <v>17</v>
      </c>
      <c r="I47" s="4" t="s">
        <v>26</v>
      </c>
      <c r="J47" s="4" t="s">
        <v>19</v>
      </c>
      <c r="K47" s="4" t="s">
        <v>27</v>
      </c>
    </row>
    <row r="48">
      <c r="A48" s="7">
        <v>73.0</v>
      </c>
      <c r="B48" s="8" t="s">
        <v>65</v>
      </c>
      <c r="C48" s="8" t="s">
        <v>66</v>
      </c>
      <c r="D48" s="8" t="s">
        <v>67</v>
      </c>
      <c r="E48" s="8" t="s">
        <v>34</v>
      </c>
      <c r="F48" s="9" t="s">
        <v>95</v>
      </c>
      <c r="G48" s="4" t="s">
        <v>16</v>
      </c>
      <c r="H48" s="4" t="s">
        <v>17</v>
      </c>
      <c r="I48" s="4" t="s">
        <v>18</v>
      </c>
      <c r="J48" s="4" t="s">
        <v>19</v>
      </c>
      <c r="K48" s="4" t="s">
        <v>20</v>
      </c>
    </row>
    <row r="49">
      <c r="A49" s="7">
        <v>77.0</v>
      </c>
      <c r="B49" s="8" t="s">
        <v>96</v>
      </c>
      <c r="C49" s="8" t="s">
        <v>97</v>
      </c>
      <c r="D49" s="8" t="s">
        <v>98</v>
      </c>
      <c r="E49" s="8" t="s">
        <v>14</v>
      </c>
      <c r="F49" s="9" t="s">
        <v>99</v>
      </c>
      <c r="G49" s="4" t="s">
        <v>16</v>
      </c>
      <c r="H49" s="4" t="s">
        <v>42</v>
      </c>
      <c r="I49" s="4" t="s">
        <v>26</v>
      </c>
      <c r="J49" s="4" t="s">
        <v>19</v>
      </c>
      <c r="K49" s="4" t="s">
        <v>27</v>
      </c>
    </row>
    <row r="50">
      <c r="A50" s="7">
        <v>78.0</v>
      </c>
      <c r="B50" s="8" t="s">
        <v>96</v>
      </c>
      <c r="C50" s="8" t="s">
        <v>97</v>
      </c>
      <c r="D50" s="8" t="s">
        <v>98</v>
      </c>
      <c r="E50" s="8" t="s">
        <v>21</v>
      </c>
      <c r="F50" s="9" t="s">
        <v>100</v>
      </c>
      <c r="G50" s="4" t="s">
        <v>16</v>
      </c>
      <c r="H50" s="4" t="s">
        <v>17</v>
      </c>
      <c r="I50" s="4" t="s">
        <v>18</v>
      </c>
      <c r="J50" s="4" t="s">
        <v>19</v>
      </c>
      <c r="K50" s="4" t="s">
        <v>20</v>
      </c>
    </row>
    <row r="51">
      <c r="A51" s="7">
        <v>81.0</v>
      </c>
      <c r="B51" s="8" t="s">
        <v>96</v>
      </c>
      <c r="C51" s="8" t="s">
        <v>97</v>
      </c>
      <c r="D51" s="8" t="s">
        <v>98</v>
      </c>
      <c r="E51" s="8" t="s">
        <v>24</v>
      </c>
      <c r="F51" s="9" t="s">
        <v>101</v>
      </c>
      <c r="G51" s="4" t="s">
        <v>41</v>
      </c>
      <c r="H51" s="4" t="s">
        <v>17</v>
      </c>
      <c r="I51" s="4" t="s">
        <v>18</v>
      </c>
      <c r="J51" s="4" t="s">
        <v>45</v>
      </c>
      <c r="K51" s="4" t="s">
        <v>27</v>
      </c>
    </row>
    <row r="52">
      <c r="A52" s="7">
        <v>82.0</v>
      </c>
      <c r="B52" s="8" t="s">
        <v>96</v>
      </c>
      <c r="C52" s="8" t="s">
        <v>97</v>
      </c>
      <c r="D52" s="8" t="s">
        <v>98</v>
      </c>
      <c r="E52" s="8" t="s">
        <v>29</v>
      </c>
      <c r="F52" s="9" t="s">
        <v>102</v>
      </c>
      <c r="G52" s="4" t="s">
        <v>16</v>
      </c>
      <c r="H52" s="4" t="s">
        <v>17</v>
      </c>
      <c r="I52" s="4" t="s">
        <v>18</v>
      </c>
      <c r="J52" s="4" t="s">
        <v>19</v>
      </c>
      <c r="K52" s="4" t="s">
        <v>20</v>
      </c>
    </row>
    <row r="53">
      <c r="A53" s="7">
        <v>83.0</v>
      </c>
      <c r="B53" s="8" t="s">
        <v>96</v>
      </c>
      <c r="C53" s="8" t="s">
        <v>97</v>
      </c>
      <c r="D53" s="8" t="s">
        <v>98</v>
      </c>
      <c r="E53" s="8" t="s">
        <v>29</v>
      </c>
      <c r="F53" s="9" t="s">
        <v>103</v>
      </c>
      <c r="G53" s="4" t="s">
        <v>16</v>
      </c>
      <c r="H53" s="4" t="s">
        <v>17</v>
      </c>
      <c r="I53" s="4" t="s">
        <v>26</v>
      </c>
      <c r="J53" s="4" t="s">
        <v>19</v>
      </c>
      <c r="K53" s="4" t="s">
        <v>20</v>
      </c>
    </row>
    <row r="54">
      <c r="A54" s="7">
        <v>84.0</v>
      </c>
      <c r="B54" s="8" t="s">
        <v>96</v>
      </c>
      <c r="C54" s="8" t="s">
        <v>97</v>
      </c>
      <c r="D54" s="8" t="s">
        <v>98</v>
      </c>
      <c r="E54" s="8" t="s">
        <v>31</v>
      </c>
      <c r="F54" s="9" t="s">
        <v>104</v>
      </c>
      <c r="G54" s="4" t="s">
        <v>16</v>
      </c>
      <c r="H54" s="4" t="s">
        <v>17</v>
      </c>
      <c r="I54" s="4" t="s">
        <v>18</v>
      </c>
      <c r="J54" s="4" t="s">
        <v>19</v>
      </c>
      <c r="K54" s="4" t="s">
        <v>20</v>
      </c>
    </row>
    <row r="55">
      <c r="A55" s="7">
        <v>85.0</v>
      </c>
      <c r="B55" s="8" t="s">
        <v>96</v>
      </c>
      <c r="C55" s="8" t="s">
        <v>97</v>
      </c>
      <c r="D55" s="8" t="s">
        <v>98</v>
      </c>
      <c r="E55" s="8" t="s">
        <v>31</v>
      </c>
      <c r="F55" s="9" t="s">
        <v>105</v>
      </c>
      <c r="G55" s="4" t="s">
        <v>16</v>
      </c>
      <c r="H55" s="4" t="s">
        <v>17</v>
      </c>
      <c r="I55" s="4" t="s">
        <v>18</v>
      </c>
      <c r="J55" s="4" t="s">
        <v>19</v>
      </c>
      <c r="K55" s="4" t="s">
        <v>20</v>
      </c>
    </row>
    <row r="56">
      <c r="A56" s="7">
        <v>86.0</v>
      </c>
      <c r="B56" s="8" t="s">
        <v>96</v>
      </c>
      <c r="C56" s="8" t="s">
        <v>97</v>
      </c>
      <c r="D56" s="8" t="s">
        <v>98</v>
      </c>
      <c r="E56" s="8" t="s">
        <v>53</v>
      </c>
      <c r="F56" s="9" t="s">
        <v>106</v>
      </c>
      <c r="G56" s="4" t="s">
        <v>16</v>
      </c>
      <c r="H56" s="4" t="s">
        <v>17</v>
      </c>
      <c r="I56" s="4" t="s">
        <v>18</v>
      </c>
      <c r="J56" s="4" t="s">
        <v>19</v>
      </c>
      <c r="K56" s="4" t="s">
        <v>20</v>
      </c>
    </row>
    <row r="57">
      <c r="A57" s="7">
        <v>87.0</v>
      </c>
      <c r="B57" s="8" t="s">
        <v>96</v>
      </c>
      <c r="C57" s="8" t="s">
        <v>97</v>
      </c>
      <c r="D57" s="8" t="s">
        <v>98</v>
      </c>
      <c r="E57" s="8" t="s">
        <v>53</v>
      </c>
      <c r="F57" s="9" t="s">
        <v>107</v>
      </c>
      <c r="G57" s="4" t="s">
        <v>16</v>
      </c>
      <c r="H57" s="4" t="s">
        <v>17</v>
      </c>
      <c r="I57" s="4" t="s">
        <v>18</v>
      </c>
      <c r="J57" s="4" t="s">
        <v>19</v>
      </c>
      <c r="K57" s="4" t="s">
        <v>20</v>
      </c>
    </row>
    <row r="58">
      <c r="A58" s="7">
        <v>90.0</v>
      </c>
      <c r="B58" s="8" t="s">
        <v>96</v>
      </c>
      <c r="C58" s="8" t="s">
        <v>97</v>
      </c>
      <c r="D58" s="8" t="s">
        <v>98</v>
      </c>
      <c r="E58" s="8" t="s">
        <v>59</v>
      </c>
      <c r="F58" s="9" t="s">
        <v>108</v>
      </c>
      <c r="G58" s="4" t="s">
        <v>16</v>
      </c>
      <c r="H58" s="4" t="s">
        <v>17</v>
      </c>
      <c r="I58" s="4" t="s">
        <v>18</v>
      </c>
      <c r="J58" s="4" t="s">
        <v>19</v>
      </c>
      <c r="K58" s="4" t="s">
        <v>20</v>
      </c>
    </row>
    <row r="59">
      <c r="A59" s="7">
        <v>91.0</v>
      </c>
      <c r="B59" s="8" t="s">
        <v>96</v>
      </c>
      <c r="C59" s="8" t="s">
        <v>97</v>
      </c>
      <c r="D59" s="8" t="s">
        <v>98</v>
      </c>
      <c r="E59" s="8" t="s">
        <v>59</v>
      </c>
      <c r="F59" s="9" t="s">
        <v>109</v>
      </c>
      <c r="G59" s="4" t="s">
        <v>16</v>
      </c>
      <c r="H59" s="4" t="s">
        <v>17</v>
      </c>
      <c r="I59" s="4" t="s">
        <v>18</v>
      </c>
      <c r="J59" s="4" t="s">
        <v>19</v>
      </c>
      <c r="K59" s="4" t="s">
        <v>20</v>
      </c>
    </row>
    <row r="60">
      <c r="A60" s="7">
        <v>92.0</v>
      </c>
      <c r="B60" s="8" t="s">
        <v>96</v>
      </c>
      <c r="C60" s="8" t="s">
        <v>97</v>
      </c>
      <c r="D60" s="8" t="s">
        <v>98</v>
      </c>
      <c r="E60" s="8" t="s">
        <v>62</v>
      </c>
      <c r="F60" s="9" t="s">
        <v>110</v>
      </c>
      <c r="G60" s="4" t="s">
        <v>16</v>
      </c>
      <c r="H60" s="4" t="s">
        <v>17</v>
      </c>
      <c r="I60" s="4" t="s">
        <v>18</v>
      </c>
      <c r="J60" s="4" t="s">
        <v>19</v>
      </c>
      <c r="K60" s="4" t="s">
        <v>20</v>
      </c>
    </row>
    <row r="61">
      <c r="A61" s="7">
        <v>94.0</v>
      </c>
      <c r="B61" s="8" t="s">
        <v>96</v>
      </c>
      <c r="C61" s="8" t="s">
        <v>97</v>
      </c>
      <c r="D61" s="8" t="s">
        <v>98</v>
      </c>
      <c r="E61" s="8" t="s">
        <v>111</v>
      </c>
      <c r="F61" s="9" t="s">
        <v>112</v>
      </c>
      <c r="G61" s="4" t="s">
        <v>16</v>
      </c>
      <c r="H61" s="4" t="s">
        <v>17</v>
      </c>
      <c r="I61" s="4" t="s">
        <v>18</v>
      </c>
      <c r="J61" s="4" t="s">
        <v>19</v>
      </c>
      <c r="K61" s="4" t="s">
        <v>20</v>
      </c>
    </row>
    <row r="62">
      <c r="A62" s="7">
        <v>95.0</v>
      </c>
      <c r="B62" s="8" t="s">
        <v>96</v>
      </c>
      <c r="C62" s="8" t="s">
        <v>97</v>
      </c>
      <c r="D62" s="8" t="s">
        <v>98</v>
      </c>
      <c r="E62" s="8" t="s">
        <v>111</v>
      </c>
      <c r="F62" s="9" t="s">
        <v>113</v>
      </c>
      <c r="G62" s="4" t="s">
        <v>16</v>
      </c>
      <c r="H62" s="4" t="s">
        <v>17</v>
      </c>
      <c r="I62" s="4" t="s">
        <v>18</v>
      </c>
      <c r="J62" s="4" t="s">
        <v>19</v>
      </c>
      <c r="K62" s="4" t="s">
        <v>20</v>
      </c>
    </row>
    <row r="63">
      <c r="A63" s="7">
        <v>96.0</v>
      </c>
      <c r="B63" s="8" t="s">
        <v>96</v>
      </c>
      <c r="C63" s="8" t="s">
        <v>97</v>
      </c>
      <c r="D63" s="8" t="s">
        <v>98</v>
      </c>
      <c r="E63" s="8" t="s">
        <v>114</v>
      </c>
      <c r="F63" s="9" t="s">
        <v>115</v>
      </c>
      <c r="G63" s="4" t="s">
        <v>16</v>
      </c>
      <c r="H63" s="4" t="s">
        <v>17</v>
      </c>
      <c r="I63" s="4" t="s">
        <v>18</v>
      </c>
      <c r="J63" s="4" t="s">
        <v>19</v>
      </c>
      <c r="K63" s="4" t="s">
        <v>20</v>
      </c>
    </row>
    <row r="64">
      <c r="A64" s="7">
        <v>97.0</v>
      </c>
      <c r="B64" s="8" t="s">
        <v>96</v>
      </c>
      <c r="C64" s="8" t="s">
        <v>97</v>
      </c>
      <c r="D64" s="8" t="s">
        <v>98</v>
      </c>
      <c r="E64" s="8" t="s">
        <v>114</v>
      </c>
      <c r="F64" s="9" t="s">
        <v>116</v>
      </c>
      <c r="G64" s="4" t="s">
        <v>16</v>
      </c>
      <c r="H64" s="4" t="s">
        <v>17</v>
      </c>
      <c r="I64" s="4" t="s">
        <v>18</v>
      </c>
      <c r="J64" s="4" t="s">
        <v>19</v>
      </c>
      <c r="K64" s="4" t="s">
        <v>20</v>
      </c>
    </row>
    <row r="65">
      <c r="A65" s="7">
        <v>98.0</v>
      </c>
      <c r="B65" s="8" t="s">
        <v>96</v>
      </c>
      <c r="C65" s="8" t="s">
        <v>97</v>
      </c>
      <c r="D65" s="8" t="s">
        <v>98</v>
      </c>
      <c r="E65" s="8" t="s">
        <v>117</v>
      </c>
      <c r="F65" s="9" t="s">
        <v>118</v>
      </c>
      <c r="G65" s="4" t="s">
        <v>16</v>
      </c>
      <c r="H65" s="4" t="s">
        <v>17</v>
      </c>
      <c r="I65" s="4" t="s">
        <v>18</v>
      </c>
      <c r="J65" s="4" t="s">
        <v>19</v>
      </c>
      <c r="K65" s="4" t="s">
        <v>20</v>
      </c>
    </row>
    <row r="66">
      <c r="A66" s="7">
        <v>99.0</v>
      </c>
      <c r="B66" s="8" t="s">
        <v>96</v>
      </c>
      <c r="C66" s="8" t="s">
        <v>97</v>
      </c>
      <c r="D66" s="8" t="s">
        <v>98</v>
      </c>
      <c r="E66" s="8" t="s">
        <v>117</v>
      </c>
      <c r="F66" s="9" t="s">
        <v>119</v>
      </c>
      <c r="G66" s="4" t="s">
        <v>16</v>
      </c>
      <c r="H66" s="4" t="s">
        <v>17</v>
      </c>
      <c r="I66" s="4" t="s">
        <v>26</v>
      </c>
      <c r="J66" s="4" t="s">
        <v>19</v>
      </c>
      <c r="K66" s="4" t="s">
        <v>27</v>
      </c>
    </row>
    <row r="67">
      <c r="A67" s="7">
        <v>100.0</v>
      </c>
      <c r="B67" s="8" t="s">
        <v>96</v>
      </c>
      <c r="C67" s="8" t="s">
        <v>97</v>
      </c>
      <c r="D67" s="8" t="s">
        <v>98</v>
      </c>
      <c r="E67" s="8" t="s">
        <v>82</v>
      </c>
      <c r="F67" s="9" t="s">
        <v>120</v>
      </c>
      <c r="G67" s="4" t="s">
        <v>16</v>
      </c>
      <c r="H67" s="4" t="s">
        <v>17</v>
      </c>
      <c r="I67" s="4" t="s">
        <v>26</v>
      </c>
      <c r="J67" s="4" t="s">
        <v>19</v>
      </c>
      <c r="K67" s="4" t="s">
        <v>27</v>
      </c>
      <c r="L67" s="4" t="s">
        <v>121</v>
      </c>
    </row>
    <row r="68">
      <c r="A68" s="7">
        <v>101.0</v>
      </c>
      <c r="B68" s="8" t="s">
        <v>96</v>
      </c>
      <c r="C68" s="8" t="s">
        <v>97</v>
      </c>
      <c r="D68" s="8" t="s">
        <v>98</v>
      </c>
      <c r="E68" s="8" t="s">
        <v>82</v>
      </c>
      <c r="F68" s="9" t="s">
        <v>122</v>
      </c>
      <c r="G68" s="4" t="s">
        <v>16</v>
      </c>
      <c r="H68" s="4" t="s">
        <v>17</v>
      </c>
      <c r="I68" s="4" t="s">
        <v>18</v>
      </c>
      <c r="J68" s="4" t="s">
        <v>19</v>
      </c>
      <c r="K68" s="4" t="s">
        <v>20</v>
      </c>
    </row>
    <row r="69">
      <c r="A69" s="7">
        <v>102.0</v>
      </c>
      <c r="B69" s="8" t="s">
        <v>96</v>
      </c>
      <c r="C69" s="8" t="s">
        <v>97</v>
      </c>
      <c r="D69" s="8" t="s">
        <v>98</v>
      </c>
      <c r="E69" s="8" t="s">
        <v>85</v>
      </c>
      <c r="F69" s="9" t="s">
        <v>123</v>
      </c>
      <c r="G69" s="4" t="s">
        <v>41</v>
      </c>
      <c r="H69" s="4" t="s">
        <v>17</v>
      </c>
      <c r="I69" s="4" t="s">
        <v>18</v>
      </c>
      <c r="J69" s="4" t="s">
        <v>19</v>
      </c>
      <c r="K69" s="4" t="s">
        <v>27</v>
      </c>
    </row>
    <row r="70">
      <c r="A70" s="7">
        <v>103.0</v>
      </c>
      <c r="B70" s="8" t="s">
        <v>96</v>
      </c>
      <c r="C70" s="8" t="s">
        <v>97</v>
      </c>
      <c r="D70" s="8" t="s">
        <v>98</v>
      </c>
      <c r="E70" s="8" t="s">
        <v>85</v>
      </c>
      <c r="F70" s="9" t="s">
        <v>124</v>
      </c>
      <c r="G70" s="4" t="s">
        <v>41</v>
      </c>
      <c r="H70" s="4" t="s">
        <v>17</v>
      </c>
      <c r="I70" s="4" t="s">
        <v>18</v>
      </c>
      <c r="J70" s="4" t="s">
        <v>19</v>
      </c>
      <c r="K70" s="4" t="s">
        <v>27</v>
      </c>
    </row>
    <row r="71">
      <c r="A71" s="7">
        <v>105.0</v>
      </c>
      <c r="B71" s="8" t="s">
        <v>96</v>
      </c>
      <c r="C71" s="8" t="s">
        <v>97</v>
      </c>
      <c r="D71" s="8" t="s">
        <v>98</v>
      </c>
      <c r="E71" s="8" t="s">
        <v>34</v>
      </c>
      <c r="F71" s="9" t="s">
        <v>125</v>
      </c>
      <c r="G71" s="4" t="s">
        <v>16</v>
      </c>
      <c r="H71" s="4" t="s">
        <v>17</v>
      </c>
      <c r="I71" s="4" t="s">
        <v>18</v>
      </c>
      <c r="J71" s="4" t="s">
        <v>19</v>
      </c>
      <c r="K71" s="4" t="s">
        <v>20</v>
      </c>
    </row>
    <row r="72">
      <c r="A72" s="7">
        <v>107.0</v>
      </c>
      <c r="B72" s="8" t="s">
        <v>126</v>
      </c>
      <c r="C72" s="8" t="s">
        <v>127</v>
      </c>
      <c r="D72" s="8" t="s">
        <v>128</v>
      </c>
      <c r="E72" s="8" t="s">
        <v>39</v>
      </c>
      <c r="F72" s="9" t="s">
        <v>129</v>
      </c>
      <c r="G72" s="4" t="s">
        <v>16</v>
      </c>
      <c r="H72" s="4" t="s">
        <v>17</v>
      </c>
      <c r="I72" s="4" t="s">
        <v>18</v>
      </c>
      <c r="J72" s="4" t="s">
        <v>45</v>
      </c>
      <c r="K72" s="4" t="s">
        <v>20</v>
      </c>
      <c r="L72" s="4" t="s">
        <v>130</v>
      </c>
    </row>
    <row r="73">
      <c r="A73" s="7">
        <v>111.0</v>
      </c>
      <c r="B73" s="8" t="s">
        <v>126</v>
      </c>
      <c r="C73" s="8" t="s">
        <v>127</v>
      </c>
      <c r="D73" s="8" t="s">
        <v>128</v>
      </c>
      <c r="E73" s="8" t="s">
        <v>21</v>
      </c>
      <c r="F73" s="9" t="s">
        <v>131</v>
      </c>
      <c r="G73" s="4" t="s">
        <v>16</v>
      </c>
      <c r="H73" s="4" t="s">
        <v>17</v>
      </c>
      <c r="I73" s="4" t="s">
        <v>18</v>
      </c>
      <c r="J73" s="4" t="s">
        <v>19</v>
      </c>
      <c r="K73" s="4" t="s">
        <v>20</v>
      </c>
    </row>
    <row r="74">
      <c r="A74" s="7">
        <v>114.0</v>
      </c>
      <c r="B74" s="8" t="s">
        <v>126</v>
      </c>
      <c r="C74" s="8" t="s">
        <v>127</v>
      </c>
      <c r="D74" s="8" t="s">
        <v>128</v>
      </c>
      <c r="E74" s="8" t="s">
        <v>29</v>
      </c>
      <c r="F74" s="9" t="s">
        <v>132</v>
      </c>
      <c r="G74" s="4" t="s">
        <v>16</v>
      </c>
      <c r="H74" s="4" t="s">
        <v>17</v>
      </c>
      <c r="I74" s="4" t="s">
        <v>18</v>
      </c>
      <c r="J74" s="4" t="s">
        <v>19</v>
      </c>
      <c r="K74" s="4" t="s">
        <v>20</v>
      </c>
    </row>
    <row r="75">
      <c r="A75" s="7">
        <v>115.0</v>
      </c>
      <c r="B75" s="8" t="s">
        <v>126</v>
      </c>
      <c r="C75" s="8" t="s">
        <v>127</v>
      </c>
      <c r="D75" s="8" t="s">
        <v>128</v>
      </c>
      <c r="E75" s="8" t="s">
        <v>29</v>
      </c>
      <c r="F75" s="9" t="s">
        <v>133</v>
      </c>
      <c r="G75" s="4" t="s">
        <v>16</v>
      </c>
      <c r="H75" s="4" t="s">
        <v>17</v>
      </c>
      <c r="I75" s="4" t="s">
        <v>18</v>
      </c>
      <c r="J75" s="4" t="s">
        <v>19</v>
      </c>
      <c r="K75" s="4" t="s">
        <v>20</v>
      </c>
    </row>
    <row r="76">
      <c r="A76" s="7">
        <v>116.0</v>
      </c>
      <c r="B76" s="8" t="s">
        <v>126</v>
      </c>
      <c r="C76" s="8" t="s">
        <v>127</v>
      </c>
      <c r="D76" s="8" t="s">
        <v>128</v>
      </c>
      <c r="E76" s="8" t="s">
        <v>34</v>
      </c>
      <c r="F76" s="9" t="s">
        <v>134</v>
      </c>
      <c r="G76" s="4" t="s">
        <v>16</v>
      </c>
      <c r="H76" s="4" t="s">
        <v>17</v>
      </c>
      <c r="I76" s="4" t="s">
        <v>18</v>
      </c>
      <c r="J76" s="4" t="s">
        <v>19</v>
      </c>
      <c r="K76" s="4" t="s">
        <v>20</v>
      </c>
    </row>
    <row r="77">
      <c r="A77" s="7">
        <v>117.0</v>
      </c>
      <c r="B77" s="8" t="s">
        <v>126</v>
      </c>
      <c r="C77" s="8" t="s">
        <v>127</v>
      </c>
      <c r="D77" s="8" t="s">
        <v>128</v>
      </c>
      <c r="E77" s="8" t="s">
        <v>34</v>
      </c>
      <c r="F77" s="9" t="s">
        <v>135</v>
      </c>
      <c r="G77" s="4" t="s">
        <v>16</v>
      </c>
      <c r="H77" s="4" t="s">
        <v>17</v>
      </c>
      <c r="I77" s="4" t="s">
        <v>18</v>
      </c>
      <c r="J77" s="4" t="s">
        <v>19</v>
      </c>
      <c r="K77" s="4" t="s">
        <v>20</v>
      </c>
    </row>
    <row r="78">
      <c r="A78" s="7">
        <v>118.0</v>
      </c>
      <c r="B78" s="8" t="s">
        <v>136</v>
      </c>
      <c r="C78" s="4" t="s">
        <v>137</v>
      </c>
      <c r="D78" s="8" t="s">
        <v>138</v>
      </c>
      <c r="E78" s="8" t="s">
        <v>39</v>
      </c>
      <c r="F78" s="9" t="s">
        <v>139</v>
      </c>
      <c r="G78" s="4" t="s">
        <v>16</v>
      </c>
      <c r="H78" s="4" t="s">
        <v>17</v>
      </c>
      <c r="I78" s="4" t="s">
        <v>26</v>
      </c>
      <c r="J78" s="4" t="s">
        <v>19</v>
      </c>
      <c r="K78" s="4" t="s">
        <v>27</v>
      </c>
    </row>
    <row r="79">
      <c r="A79" s="7">
        <v>120.0</v>
      </c>
      <c r="B79" s="8" t="s">
        <v>136</v>
      </c>
      <c r="C79" s="4" t="s">
        <v>137</v>
      </c>
      <c r="D79" s="8" t="s">
        <v>138</v>
      </c>
      <c r="E79" s="8" t="s">
        <v>14</v>
      </c>
      <c r="F79" s="9" t="s">
        <v>140</v>
      </c>
      <c r="G79" s="4" t="s">
        <v>16</v>
      </c>
      <c r="H79" s="4" t="s">
        <v>17</v>
      </c>
      <c r="I79" s="4" t="s">
        <v>26</v>
      </c>
      <c r="J79" s="4" t="s">
        <v>19</v>
      </c>
      <c r="K79" s="4" t="s">
        <v>27</v>
      </c>
    </row>
    <row r="80">
      <c r="A80" s="7">
        <v>122.0</v>
      </c>
      <c r="B80" s="8" t="s">
        <v>136</v>
      </c>
      <c r="C80" s="4" t="s">
        <v>137</v>
      </c>
      <c r="D80" s="8" t="s">
        <v>138</v>
      </c>
      <c r="E80" s="8" t="s">
        <v>21</v>
      </c>
      <c r="F80" s="9" t="s">
        <v>141</v>
      </c>
      <c r="G80" s="4" t="s">
        <v>16</v>
      </c>
      <c r="H80" s="4" t="s">
        <v>17</v>
      </c>
      <c r="I80" s="4" t="s">
        <v>26</v>
      </c>
      <c r="J80" s="4" t="s">
        <v>19</v>
      </c>
      <c r="K80" s="4" t="s">
        <v>27</v>
      </c>
    </row>
    <row r="81">
      <c r="A81" s="7">
        <v>123.0</v>
      </c>
      <c r="B81" s="8" t="s">
        <v>136</v>
      </c>
      <c r="C81" s="4" t="s">
        <v>137</v>
      </c>
      <c r="D81" s="8" t="s">
        <v>138</v>
      </c>
      <c r="E81" s="8" t="s">
        <v>21</v>
      </c>
      <c r="F81" s="9" t="s">
        <v>142</v>
      </c>
      <c r="G81" s="4" t="s">
        <v>16</v>
      </c>
      <c r="H81" s="4" t="s">
        <v>17</v>
      </c>
      <c r="I81" s="4" t="s">
        <v>18</v>
      </c>
      <c r="J81" s="4" t="s">
        <v>19</v>
      </c>
      <c r="K81" s="4" t="s">
        <v>20</v>
      </c>
    </row>
    <row r="82">
      <c r="A82" s="7">
        <v>133.0</v>
      </c>
      <c r="B82" s="8" t="s">
        <v>136</v>
      </c>
      <c r="C82" s="4" t="s">
        <v>137</v>
      </c>
      <c r="D82" s="8" t="s">
        <v>138</v>
      </c>
      <c r="E82" s="8" t="s">
        <v>56</v>
      </c>
      <c r="F82" s="9" t="s">
        <v>143</v>
      </c>
      <c r="G82" s="4" t="s">
        <v>41</v>
      </c>
      <c r="H82" s="4" t="s">
        <v>17</v>
      </c>
      <c r="I82" s="4" t="s">
        <v>18</v>
      </c>
      <c r="J82" s="4" t="s">
        <v>19</v>
      </c>
      <c r="K82" s="4" t="s">
        <v>27</v>
      </c>
    </row>
    <row r="83">
      <c r="A83" s="7">
        <v>134.0</v>
      </c>
      <c r="B83" s="8" t="s">
        <v>136</v>
      </c>
      <c r="C83" s="4" t="s">
        <v>137</v>
      </c>
      <c r="D83" s="8" t="s">
        <v>138</v>
      </c>
      <c r="E83" s="8" t="s">
        <v>59</v>
      </c>
      <c r="F83" s="9" t="s">
        <v>144</v>
      </c>
      <c r="G83" s="4" t="s">
        <v>16</v>
      </c>
      <c r="H83" s="4" t="s">
        <v>17</v>
      </c>
      <c r="I83" s="4" t="s">
        <v>18</v>
      </c>
      <c r="J83" s="4" t="s">
        <v>45</v>
      </c>
      <c r="K83" s="4" t="s">
        <v>27</v>
      </c>
    </row>
    <row r="84">
      <c r="A84" s="7">
        <v>135.0</v>
      </c>
      <c r="B84" s="8" t="s">
        <v>136</v>
      </c>
      <c r="C84" s="4" t="s">
        <v>137</v>
      </c>
      <c r="D84" s="8" t="s">
        <v>138</v>
      </c>
      <c r="E84" s="8" t="s">
        <v>59</v>
      </c>
      <c r="F84" s="9" t="s">
        <v>145</v>
      </c>
      <c r="G84" s="4" t="s">
        <v>41</v>
      </c>
      <c r="H84" s="4" t="s">
        <v>17</v>
      </c>
      <c r="I84" s="4" t="s">
        <v>26</v>
      </c>
      <c r="J84" s="4" t="s">
        <v>19</v>
      </c>
      <c r="K84" s="4" t="s">
        <v>27</v>
      </c>
    </row>
    <row r="85">
      <c r="A85" s="7">
        <v>136.0</v>
      </c>
      <c r="B85" s="8" t="s">
        <v>136</v>
      </c>
      <c r="C85" s="4" t="s">
        <v>137</v>
      </c>
      <c r="D85" s="8" t="s">
        <v>138</v>
      </c>
      <c r="E85" s="8" t="s">
        <v>62</v>
      </c>
      <c r="F85" s="9" t="s">
        <v>146</v>
      </c>
      <c r="G85" s="4" t="s">
        <v>41</v>
      </c>
      <c r="H85" s="4" t="s">
        <v>17</v>
      </c>
      <c r="I85" s="4" t="s">
        <v>18</v>
      </c>
      <c r="J85" s="4" t="s">
        <v>19</v>
      </c>
      <c r="K85" s="4" t="s">
        <v>27</v>
      </c>
    </row>
    <row r="86">
      <c r="A86" s="7">
        <v>137.0</v>
      </c>
      <c r="B86" s="8" t="s">
        <v>136</v>
      </c>
      <c r="C86" s="4" t="s">
        <v>137</v>
      </c>
      <c r="D86" s="8" t="s">
        <v>138</v>
      </c>
      <c r="E86" s="8" t="s">
        <v>62</v>
      </c>
      <c r="F86" s="9" t="s">
        <v>147</v>
      </c>
      <c r="G86" s="4" t="s">
        <v>41</v>
      </c>
      <c r="H86" s="4" t="s">
        <v>42</v>
      </c>
      <c r="I86" s="4" t="s">
        <v>18</v>
      </c>
      <c r="J86" s="4" t="s">
        <v>45</v>
      </c>
      <c r="K86" s="4" t="s">
        <v>27</v>
      </c>
    </row>
    <row r="87">
      <c r="A87" s="7">
        <v>138.0</v>
      </c>
      <c r="B87" s="8" t="s">
        <v>136</v>
      </c>
      <c r="C87" s="4" t="s">
        <v>137</v>
      </c>
      <c r="D87" s="8" t="s">
        <v>138</v>
      </c>
      <c r="E87" s="8" t="s">
        <v>111</v>
      </c>
      <c r="F87" s="9" t="s">
        <v>148</v>
      </c>
      <c r="G87" s="4" t="s">
        <v>16</v>
      </c>
      <c r="H87" s="4" t="s">
        <v>17</v>
      </c>
      <c r="I87" s="4" t="s">
        <v>26</v>
      </c>
      <c r="J87" s="4" t="s">
        <v>45</v>
      </c>
      <c r="K87" s="4" t="s">
        <v>27</v>
      </c>
    </row>
    <row r="88">
      <c r="A88" s="7">
        <v>139.0</v>
      </c>
      <c r="B88" s="8" t="s">
        <v>136</v>
      </c>
      <c r="C88" s="4" t="s">
        <v>137</v>
      </c>
      <c r="D88" s="8" t="s">
        <v>138</v>
      </c>
      <c r="E88" s="8" t="s">
        <v>111</v>
      </c>
      <c r="F88" s="9" t="s">
        <v>149</v>
      </c>
      <c r="G88" s="4" t="s">
        <v>16</v>
      </c>
      <c r="H88" s="4" t="s">
        <v>17</v>
      </c>
      <c r="I88" s="4" t="s">
        <v>18</v>
      </c>
      <c r="J88" s="4" t="s">
        <v>19</v>
      </c>
      <c r="K88" s="4" t="s">
        <v>20</v>
      </c>
      <c r="L88" s="4" t="s">
        <v>150</v>
      </c>
    </row>
    <row r="89">
      <c r="A89" s="7">
        <v>140.0</v>
      </c>
      <c r="B89" s="8" t="s">
        <v>136</v>
      </c>
      <c r="C89" s="4" t="s">
        <v>137</v>
      </c>
      <c r="D89" s="8" t="s">
        <v>138</v>
      </c>
      <c r="E89" s="8" t="s">
        <v>114</v>
      </c>
      <c r="F89" s="9" t="s">
        <v>151</v>
      </c>
      <c r="G89" s="4" t="s">
        <v>16</v>
      </c>
      <c r="H89" s="4" t="s">
        <v>17</v>
      </c>
      <c r="I89" s="4" t="s">
        <v>26</v>
      </c>
      <c r="J89" s="4" t="s">
        <v>19</v>
      </c>
      <c r="K89" s="4" t="s">
        <v>27</v>
      </c>
    </row>
    <row r="90">
      <c r="A90" s="7">
        <v>141.0</v>
      </c>
      <c r="B90" s="8" t="s">
        <v>136</v>
      </c>
      <c r="C90" s="4" t="s">
        <v>137</v>
      </c>
      <c r="D90" s="8" t="s">
        <v>138</v>
      </c>
      <c r="E90" s="8" t="s">
        <v>114</v>
      </c>
      <c r="F90" s="9" t="s">
        <v>152</v>
      </c>
      <c r="G90" s="4" t="s">
        <v>16</v>
      </c>
      <c r="H90" s="4" t="s">
        <v>17</v>
      </c>
      <c r="I90" s="4" t="s">
        <v>26</v>
      </c>
      <c r="J90" s="4" t="s">
        <v>19</v>
      </c>
      <c r="K90" s="4" t="s">
        <v>27</v>
      </c>
    </row>
    <row r="91">
      <c r="A91" s="7">
        <v>142.0</v>
      </c>
      <c r="B91" s="8" t="s">
        <v>136</v>
      </c>
      <c r="C91" s="4" t="s">
        <v>137</v>
      </c>
      <c r="D91" s="8" t="s">
        <v>138</v>
      </c>
      <c r="E91" s="8" t="s">
        <v>117</v>
      </c>
      <c r="F91" s="9" t="s">
        <v>153</v>
      </c>
      <c r="G91" s="4" t="s">
        <v>16</v>
      </c>
      <c r="H91" s="4" t="s">
        <v>17</v>
      </c>
      <c r="I91" s="4" t="s">
        <v>18</v>
      </c>
      <c r="J91" s="4" t="s">
        <v>19</v>
      </c>
      <c r="K91" s="4" t="s">
        <v>20</v>
      </c>
    </row>
    <row r="92">
      <c r="A92" s="7">
        <v>146.0</v>
      </c>
      <c r="B92" s="8" t="s">
        <v>136</v>
      </c>
      <c r="C92" s="4" t="s">
        <v>137</v>
      </c>
      <c r="D92" s="8" t="s">
        <v>138</v>
      </c>
      <c r="E92" s="8" t="s">
        <v>34</v>
      </c>
      <c r="F92" s="9" t="s">
        <v>154</v>
      </c>
      <c r="G92" s="4" t="s">
        <v>16</v>
      </c>
      <c r="H92" s="4" t="s">
        <v>17</v>
      </c>
      <c r="I92" s="4" t="s">
        <v>18</v>
      </c>
      <c r="J92" s="4" t="s">
        <v>19</v>
      </c>
      <c r="K92" s="4" t="s">
        <v>20</v>
      </c>
    </row>
    <row r="93">
      <c r="A93" s="7">
        <v>148.0</v>
      </c>
      <c r="B93" s="8" t="s">
        <v>155</v>
      </c>
      <c r="C93" s="8" t="s">
        <v>156</v>
      </c>
      <c r="D93" s="8" t="s">
        <v>157</v>
      </c>
      <c r="E93" s="8" t="s">
        <v>39</v>
      </c>
      <c r="F93" s="9" t="s">
        <v>158</v>
      </c>
      <c r="G93" s="4" t="s">
        <v>16</v>
      </c>
      <c r="H93" s="4" t="s">
        <v>17</v>
      </c>
      <c r="I93" s="4" t="s">
        <v>26</v>
      </c>
      <c r="J93" s="4" t="s">
        <v>45</v>
      </c>
      <c r="K93" s="4" t="s">
        <v>27</v>
      </c>
    </row>
    <row r="94">
      <c r="A94" s="7">
        <v>151.0</v>
      </c>
      <c r="B94" s="8" t="s">
        <v>155</v>
      </c>
      <c r="C94" s="8" t="s">
        <v>156</v>
      </c>
      <c r="D94" s="8" t="s">
        <v>157</v>
      </c>
      <c r="E94" s="8" t="s">
        <v>14</v>
      </c>
      <c r="F94" s="9" t="s">
        <v>159</v>
      </c>
      <c r="G94" s="4" t="s">
        <v>16</v>
      </c>
      <c r="H94" s="4" t="s">
        <v>17</v>
      </c>
      <c r="I94" s="4" t="s">
        <v>18</v>
      </c>
      <c r="J94" s="4" t="s">
        <v>19</v>
      </c>
      <c r="K94" s="4" t="s">
        <v>20</v>
      </c>
    </row>
    <row r="95">
      <c r="A95" s="7">
        <v>153.0</v>
      </c>
      <c r="B95" s="8" t="s">
        <v>155</v>
      </c>
      <c r="C95" s="8" t="s">
        <v>156</v>
      </c>
      <c r="D95" s="8" t="s">
        <v>157</v>
      </c>
      <c r="E95" s="8" t="s">
        <v>21</v>
      </c>
      <c r="F95" s="9" t="s">
        <v>160</v>
      </c>
      <c r="G95" s="4" t="s">
        <v>16</v>
      </c>
      <c r="H95" s="4" t="s">
        <v>42</v>
      </c>
      <c r="I95" s="4" t="s">
        <v>18</v>
      </c>
      <c r="J95" s="4" t="s">
        <v>19</v>
      </c>
      <c r="K95" s="4" t="s">
        <v>27</v>
      </c>
    </row>
    <row r="96">
      <c r="A96" s="7">
        <v>154.0</v>
      </c>
      <c r="B96" s="8" t="s">
        <v>155</v>
      </c>
      <c r="C96" s="8" t="s">
        <v>156</v>
      </c>
      <c r="D96" s="8" t="s">
        <v>157</v>
      </c>
      <c r="E96" s="8" t="s">
        <v>24</v>
      </c>
      <c r="F96" s="9" t="s">
        <v>161</v>
      </c>
      <c r="G96" s="4" t="s">
        <v>16</v>
      </c>
      <c r="H96" s="4" t="s">
        <v>17</v>
      </c>
      <c r="I96" s="4" t="s">
        <v>18</v>
      </c>
      <c r="J96" s="4" t="s">
        <v>19</v>
      </c>
      <c r="K96" s="4" t="s">
        <v>20</v>
      </c>
    </row>
    <row r="97">
      <c r="A97" s="7">
        <v>155.0</v>
      </c>
      <c r="B97" s="8" t="s">
        <v>155</v>
      </c>
      <c r="C97" s="8" t="s">
        <v>156</v>
      </c>
      <c r="D97" s="8" t="s">
        <v>157</v>
      </c>
      <c r="E97" s="8" t="s">
        <v>24</v>
      </c>
      <c r="F97" s="9" t="s">
        <v>162</v>
      </c>
      <c r="G97" s="4" t="s">
        <v>16</v>
      </c>
      <c r="H97" s="4" t="s">
        <v>17</v>
      </c>
      <c r="I97" s="4" t="s">
        <v>26</v>
      </c>
      <c r="J97" s="4" t="s">
        <v>19</v>
      </c>
      <c r="K97" s="4" t="s">
        <v>27</v>
      </c>
    </row>
    <row r="98">
      <c r="A98" s="7">
        <v>156.0</v>
      </c>
      <c r="B98" s="8" t="s">
        <v>155</v>
      </c>
      <c r="C98" s="8" t="s">
        <v>156</v>
      </c>
      <c r="D98" s="8" t="s">
        <v>157</v>
      </c>
      <c r="E98" s="8" t="s">
        <v>29</v>
      </c>
      <c r="F98" s="9" t="s">
        <v>163</v>
      </c>
      <c r="G98" s="4" t="s">
        <v>16</v>
      </c>
      <c r="H98" s="4" t="s">
        <v>42</v>
      </c>
      <c r="I98" s="4" t="s">
        <v>18</v>
      </c>
      <c r="J98" s="4" t="s">
        <v>45</v>
      </c>
      <c r="K98" s="4" t="s">
        <v>27</v>
      </c>
    </row>
    <row r="99">
      <c r="A99" s="7">
        <v>157.0</v>
      </c>
      <c r="B99" s="8" t="s">
        <v>155</v>
      </c>
      <c r="C99" s="8" t="s">
        <v>156</v>
      </c>
      <c r="D99" s="8" t="s">
        <v>157</v>
      </c>
      <c r="E99" s="8" t="s">
        <v>29</v>
      </c>
      <c r="F99" s="9" t="s">
        <v>164</v>
      </c>
      <c r="G99" s="4" t="s">
        <v>16</v>
      </c>
      <c r="H99" s="4" t="s">
        <v>17</v>
      </c>
      <c r="I99" s="4" t="s">
        <v>18</v>
      </c>
      <c r="J99" s="4" t="s">
        <v>19</v>
      </c>
      <c r="K99" s="4" t="s">
        <v>20</v>
      </c>
    </row>
    <row r="100">
      <c r="A100" s="7">
        <v>159.0</v>
      </c>
      <c r="B100" s="8" t="s">
        <v>155</v>
      </c>
      <c r="C100" s="8" t="s">
        <v>156</v>
      </c>
      <c r="D100" s="8" t="s">
        <v>157</v>
      </c>
      <c r="E100" s="8" t="s">
        <v>31</v>
      </c>
      <c r="F100" s="9" t="s">
        <v>165</v>
      </c>
      <c r="G100" s="4" t="s">
        <v>16</v>
      </c>
      <c r="H100" s="4" t="s">
        <v>42</v>
      </c>
      <c r="I100" s="4" t="s">
        <v>18</v>
      </c>
      <c r="J100" s="4" t="s">
        <v>45</v>
      </c>
      <c r="K100" s="4" t="s">
        <v>27</v>
      </c>
    </row>
    <row r="101">
      <c r="A101" s="7">
        <v>161.0</v>
      </c>
      <c r="B101" s="8" t="s">
        <v>155</v>
      </c>
      <c r="C101" s="8" t="s">
        <v>156</v>
      </c>
      <c r="D101" s="8" t="s">
        <v>157</v>
      </c>
      <c r="E101" s="8" t="s">
        <v>34</v>
      </c>
      <c r="F101" s="9" t="s">
        <v>166</v>
      </c>
      <c r="G101" s="4" t="s">
        <v>16</v>
      </c>
      <c r="H101" s="4" t="s">
        <v>17</v>
      </c>
      <c r="I101" s="4" t="s">
        <v>18</v>
      </c>
      <c r="J101" s="4" t="s">
        <v>19</v>
      </c>
      <c r="K101" s="4" t="s">
        <v>20</v>
      </c>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row r="988">
      <c r="F988" s="9"/>
    </row>
    <row r="989">
      <c r="F989" s="9"/>
    </row>
    <row r="990">
      <c r="F990" s="9"/>
    </row>
    <row r="991">
      <c r="F991" s="9"/>
    </row>
    <row r="992">
      <c r="F992" s="9"/>
    </row>
    <row r="993">
      <c r="F993" s="9"/>
    </row>
    <row r="994">
      <c r="F994" s="9"/>
    </row>
    <row r="995">
      <c r="F995" s="9"/>
    </row>
    <row r="996">
      <c r="F996" s="9"/>
    </row>
    <row r="997">
      <c r="F997" s="9"/>
    </row>
    <row r="998">
      <c r="F998" s="9"/>
    </row>
    <row r="999">
      <c r="F999" s="9"/>
    </row>
    <row r="1000">
      <c r="F1000" s="9"/>
    </row>
  </sheetData>
  <dataValidations>
    <dataValidation type="list" allowBlank="1" showErrorMessage="1" sqref="I2:I101">
      <formula1>"Not long term,Long term/historical"</formula1>
    </dataValidation>
    <dataValidation type="list" allowBlank="1" showErrorMessage="1" sqref="K2:K101">
      <formula1>"Keep,Discard"</formula1>
    </dataValidation>
    <dataValidation type="list" allowBlank="1" showErrorMessage="1" sqref="H2:H101">
      <formula1>"Not too political,Too political"</formula1>
    </dataValidation>
    <dataValidation type="list" allowBlank="1" showErrorMessage="1" sqref="G2:G101">
      <formula1>"Relevant,Not relevant"</formula1>
    </dataValidation>
    <dataValidation type="list" allowBlank="1" showErrorMessage="1" sqref="J2:J101">
      <formula1>"Good,Too general/too specific"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10.14"/>
    <col customWidth="1" min="4" max="4" width="3.14"/>
    <col customWidth="1" min="5" max="5" width="4.0"/>
    <col customWidth="1" min="6" max="6" width="84.43"/>
  </cols>
  <sheetData>
    <row r="1">
      <c r="A1" s="1" t="s">
        <v>0</v>
      </c>
      <c r="B1" s="2" t="s">
        <v>1</v>
      </c>
      <c r="C1" s="2" t="s">
        <v>2</v>
      </c>
      <c r="D1" s="2" t="s">
        <v>3</v>
      </c>
      <c r="E1" s="2" t="s">
        <v>4</v>
      </c>
      <c r="F1" s="3" t="s">
        <v>5</v>
      </c>
      <c r="G1" s="4" t="s">
        <v>6</v>
      </c>
      <c r="H1" s="4" t="s">
        <v>7</v>
      </c>
      <c r="I1" s="4" t="s">
        <v>8</v>
      </c>
      <c r="J1" s="4" t="s">
        <v>9</v>
      </c>
      <c r="K1" s="4" t="s">
        <v>10</v>
      </c>
    </row>
    <row r="2" ht="15.75" customHeight="1">
      <c r="A2" s="7">
        <v>0.0</v>
      </c>
      <c r="B2" s="8" t="s">
        <v>11</v>
      </c>
      <c r="C2" s="8" t="s">
        <v>12</v>
      </c>
      <c r="D2" s="8" t="s">
        <v>13</v>
      </c>
      <c r="E2" s="8" t="s">
        <v>39</v>
      </c>
      <c r="F2" s="9" t="s">
        <v>167</v>
      </c>
      <c r="G2" s="4" t="s">
        <v>16</v>
      </c>
      <c r="H2" s="4" t="s">
        <v>17</v>
      </c>
      <c r="I2" s="4" t="s">
        <v>18</v>
      </c>
      <c r="J2" s="4" t="s">
        <v>19</v>
      </c>
      <c r="K2" s="4" t="s">
        <v>20</v>
      </c>
    </row>
    <row r="3">
      <c r="A3" s="7">
        <v>1.0</v>
      </c>
      <c r="B3" s="8" t="s">
        <v>11</v>
      </c>
      <c r="C3" s="8" t="s">
        <v>12</v>
      </c>
      <c r="D3" s="8" t="s">
        <v>13</v>
      </c>
      <c r="E3" s="8" t="s">
        <v>39</v>
      </c>
      <c r="F3" s="9" t="s">
        <v>168</v>
      </c>
      <c r="G3" s="4" t="s">
        <v>16</v>
      </c>
      <c r="H3" s="4" t="s">
        <v>17</v>
      </c>
      <c r="I3" s="4" t="s">
        <v>18</v>
      </c>
      <c r="J3" s="4" t="s">
        <v>19</v>
      </c>
      <c r="K3" s="4" t="s">
        <v>20</v>
      </c>
    </row>
    <row r="4">
      <c r="A4" s="2">
        <v>5.0</v>
      </c>
      <c r="B4" s="5" t="s">
        <v>11</v>
      </c>
      <c r="C4" s="5" t="s">
        <v>12</v>
      </c>
      <c r="D4" s="5" t="s">
        <v>13</v>
      </c>
      <c r="E4" s="5" t="s">
        <v>21</v>
      </c>
      <c r="F4" s="6" t="s">
        <v>23</v>
      </c>
      <c r="G4" s="4" t="s">
        <v>16</v>
      </c>
      <c r="H4" s="4" t="s">
        <v>17</v>
      </c>
      <c r="I4" s="4" t="s">
        <v>18</v>
      </c>
      <c r="J4" s="4" t="s">
        <v>19</v>
      </c>
      <c r="K4" s="4" t="s">
        <v>20</v>
      </c>
    </row>
    <row r="5">
      <c r="A5" s="7">
        <v>6.0</v>
      </c>
      <c r="B5" s="8" t="s">
        <v>11</v>
      </c>
      <c r="C5" s="8" t="s">
        <v>12</v>
      </c>
      <c r="D5" s="8" t="s">
        <v>13</v>
      </c>
      <c r="E5" s="8" t="s">
        <v>24</v>
      </c>
      <c r="F5" s="10" t="s">
        <v>25</v>
      </c>
      <c r="G5" s="4" t="s">
        <v>16</v>
      </c>
      <c r="H5" s="4" t="s">
        <v>17</v>
      </c>
      <c r="I5" s="4" t="s">
        <v>26</v>
      </c>
      <c r="J5" s="4" t="s">
        <v>19</v>
      </c>
      <c r="K5" s="4" t="s">
        <v>20</v>
      </c>
    </row>
    <row r="6">
      <c r="A6" s="7">
        <v>7.0</v>
      </c>
      <c r="B6" s="8" t="s">
        <v>11</v>
      </c>
      <c r="C6" s="8" t="s">
        <v>12</v>
      </c>
      <c r="D6" s="8" t="s">
        <v>13</v>
      </c>
      <c r="E6" s="8" t="s">
        <v>24</v>
      </c>
      <c r="F6" s="10" t="s">
        <v>28</v>
      </c>
      <c r="G6" s="4" t="s">
        <v>16</v>
      </c>
      <c r="H6" s="4" t="s">
        <v>17</v>
      </c>
      <c r="I6" s="4" t="s">
        <v>18</v>
      </c>
      <c r="J6" s="4" t="s">
        <v>19</v>
      </c>
      <c r="K6" s="4" t="s">
        <v>20</v>
      </c>
    </row>
    <row r="7">
      <c r="A7" s="7">
        <v>15.0</v>
      </c>
      <c r="B7" s="8" t="s">
        <v>37</v>
      </c>
      <c r="C7" s="8" t="s">
        <v>38</v>
      </c>
      <c r="D7" s="8" t="s">
        <v>13</v>
      </c>
      <c r="E7" s="8" t="s">
        <v>39</v>
      </c>
      <c r="F7" s="9" t="s">
        <v>169</v>
      </c>
      <c r="G7" s="4" t="s">
        <v>41</v>
      </c>
      <c r="H7" s="4" t="s">
        <v>42</v>
      </c>
      <c r="I7" s="4" t="s">
        <v>26</v>
      </c>
      <c r="J7" s="4" t="s">
        <v>45</v>
      </c>
      <c r="K7" s="4" t="s">
        <v>27</v>
      </c>
    </row>
    <row r="8">
      <c r="A8" s="7">
        <v>19.0</v>
      </c>
      <c r="B8" s="8" t="s">
        <v>37</v>
      </c>
      <c r="C8" s="8" t="s">
        <v>38</v>
      </c>
      <c r="D8" s="8" t="s">
        <v>13</v>
      </c>
      <c r="E8" s="8" t="s">
        <v>21</v>
      </c>
      <c r="F8" s="9" t="s">
        <v>46</v>
      </c>
      <c r="G8" s="4" t="s">
        <v>16</v>
      </c>
      <c r="H8" s="4" t="s">
        <v>17</v>
      </c>
      <c r="I8" s="4" t="s">
        <v>18</v>
      </c>
      <c r="J8" s="4" t="s">
        <v>19</v>
      </c>
      <c r="K8" s="4" t="s">
        <v>20</v>
      </c>
      <c r="L8" s="4" t="s">
        <v>170</v>
      </c>
    </row>
    <row r="9">
      <c r="A9" s="7">
        <v>20.0</v>
      </c>
      <c r="B9" s="8" t="s">
        <v>37</v>
      </c>
      <c r="C9" s="8" t="s">
        <v>38</v>
      </c>
      <c r="D9" s="8" t="s">
        <v>13</v>
      </c>
      <c r="E9" s="8" t="s">
        <v>24</v>
      </c>
      <c r="F9" s="9" t="s">
        <v>47</v>
      </c>
      <c r="G9" s="4" t="s">
        <v>16</v>
      </c>
      <c r="H9" s="4" t="s">
        <v>17</v>
      </c>
      <c r="I9" s="4" t="s">
        <v>18</v>
      </c>
      <c r="J9" s="4" t="s">
        <v>45</v>
      </c>
      <c r="K9" s="4" t="s">
        <v>27</v>
      </c>
    </row>
    <row r="10">
      <c r="A10" s="7">
        <v>30.0</v>
      </c>
      <c r="B10" s="8" t="s">
        <v>37</v>
      </c>
      <c r="C10" s="8" t="s">
        <v>38</v>
      </c>
      <c r="D10" s="8" t="s">
        <v>13</v>
      </c>
      <c r="E10" s="8" t="s">
        <v>59</v>
      </c>
      <c r="F10" s="9" t="s">
        <v>171</v>
      </c>
      <c r="G10" s="4" t="s">
        <v>16</v>
      </c>
      <c r="H10" s="4" t="s">
        <v>17</v>
      </c>
      <c r="I10" s="4" t="s">
        <v>18</v>
      </c>
      <c r="J10" s="4" t="s">
        <v>19</v>
      </c>
      <c r="K10" s="4" t="s">
        <v>20</v>
      </c>
    </row>
    <row r="11">
      <c r="A11" s="7">
        <v>32.0</v>
      </c>
      <c r="B11" s="8" t="s">
        <v>37</v>
      </c>
      <c r="C11" s="8" t="s">
        <v>38</v>
      </c>
      <c r="D11" s="8" t="s">
        <v>13</v>
      </c>
      <c r="E11" s="8" t="s">
        <v>62</v>
      </c>
      <c r="F11" s="9" t="s">
        <v>63</v>
      </c>
      <c r="G11" s="4" t="s">
        <v>16</v>
      </c>
      <c r="H11" s="4" t="s">
        <v>17</v>
      </c>
      <c r="I11" s="4" t="s">
        <v>18</v>
      </c>
      <c r="J11" s="4" t="s">
        <v>19</v>
      </c>
      <c r="K11" s="4" t="s">
        <v>20</v>
      </c>
    </row>
    <row r="12">
      <c r="A12" s="7">
        <v>35.0</v>
      </c>
      <c r="B12" s="8" t="s">
        <v>37</v>
      </c>
      <c r="C12" s="8" t="s">
        <v>38</v>
      </c>
      <c r="D12" s="8" t="s">
        <v>13</v>
      </c>
      <c r="E12" s="8" t="s">
        <v>34</v>
      </c>
      <c r="F12" s="9" t="s">
        <v>172</v>
      </c>
      <c r="G12" s="4" t="s">
        <v>16</v>
      </c>
      <c r="H12" s="4" t="s">
        <v>17</v>
      </c>
      <c r="I12" s="4" t="s">
        <v>18</v>
      </c>
      <c r="J12" s="4" t="s">
        <v>19</v>
      </c>
      <c r="K12" s="4" t="s">
        <v>20</v>
      </c>
    </row>
    <row r="13">
      <c r="A13" s="7">
        <v>36.0</v>
      </c>
      <c r="B13" s="8" t="s">
        <v>65</v>
      </c>
      <c r="C13" s="8" t="s">
        <v>66</v>
      </c>
      <c r="D13" s="8" t="s">
        <v>67</v>
      </c>
      <c r="E13" s="8" t="s">
        <v>39</v>
      </c>
      <c r="F13" s="9" t="s">
        <v>173</v>
      </c>
      <c r="G13" s="4" t="s">
        <v>16</v>
      </c>
      <c r="H13" s="4" t="s">
        <v>17</v>
      </c>
      <c r="I13" s="4" t="s">
        <v>18</v>
      </c>
      <c r="J13" s="4" t="s">
        <v>19</v>
      </c>
      <c r="K13" s="4" t="s">
        <v>20</v>
      </c>
    </row>
    <row r="14">
      <c r="A14" s="7">
        <v>38.0</v>
      </c>
      <c r="B14" s="8" t="s">
        <v>65</v>
      </c>
      <c r="C14" s="8" t="s">
        <v>66</v>
      </c>
      <c r="D14" s="8" t="s">
        <v>67</v>
      </c>
      <c r="E14" s="8" t="s">
        <v>14</v>
      </c>
      <c r="F14" s="9" t="s">
        <v>174</v>
      </c>
      <c r="G14" s="4" t="s">
        <v>16</v>
      </c>
      <c r="H14" s="4" t="s">
        <v>17</v>
      </c>
      <c r="I14" s="4" t="s">
        <v>18</v>
      </c>
      <c r="J14" s="4" t="s">
        <v>45</v>
      </c>
      <c r="K14" s="4" t="s">
        <v>20</v>
      </c>
      <c r="L14" s="4" t="s">
        <v>170</v>
      </c>
    </row>
    <row r="15">
      <c r="A15" s="7">
        <v>47.0</v>
      </c>
      <c r="B15" s="8" t="s">
        <v>65</v>
      </c>
      <c r="C15" s="8" t="s">
        <v>66</v>
      </c>
      <c r="D15" s="8" t="s">
        <v>67</v>
      </c>
      <c r="E15" s="8" t="s">
        <v>31</v>
      </c>
      <c r="F15" s="9" t="s">
        <v>175</v>
      </c>
      <c r="G15" s="4" t="s">
        <v>16</v>
      </c>
      <c r="H15" s="4" t="s">
        <v>17</v>
      </c>
      <c r="I15" s="4" t="s">
        <v>18</v>
      </c>
      <c r="J15" s="4" t="s">
        <v>19</v>
      </c>
      <c r="K15" s="4" t="s">
        <v>20</v>
      </c>
    </row>
    <row r="16">
      <c r="A16" s="7">
        <v>48.0</v>
      </c>
      <c r="B16" s="8" t="s">
        <v>65</v>
      </c>
      <c r="C16" s="8" t="s">
        <v>66</v>
      </c>
      <c r="D16" s="8" t="s">
        <v>67</v>
      </c>
      <c r="E16" s="8" t="s">
        <v>53</v>
      </c>
      <c r="F16" s="9" t="s">
        <v>176</v>
      </c>
      <c r="G16" s="4" t="s">
        <v>16</v>
      </c>
      <c r="H16" s="4" t="s">
        <v>17</v>
      </c>
      <c r="I16" s="4" t="s">
        <v>18</v>
      </c>
      <c r="J16" s="4" t="s">
        <v>19</v>
      </c>
      <c r="K16" s="4" t="s">
        <v>20</v>
      </c>
    </row>
    <row r="17">
      <c r="A17" s="7">
        <v>53.0</v>
      </c>
      <c r="B17" s="8" t="s">
        <v>65</v>
      </c>
      <c r="C17" s="8" t="s">
        <v>66</v>
      </c>
      <c r="D17" s="8" t="s">
        <v>67</v>
      </c>
      <c r="E17" s="8" t="s">
        <v>59</v>
      </c>
      <c r="F17" s="9" t="s">
        <v>177</v>
      </c>
      <c r="G17" s="4" t="s">
        <v>16</v>
      </c>
      <c r="H17" s="4" t="s">
        <v>17</v>
      </c>
      <c r="I17" s="4" t="s">
        <v>18</v>
      </c>
      <c r="J17" s="4" t="s">
        <v>19</v>
      </c>
      <c r="K17" s="4" t="s">
        <v>20</v>
      </c>
    </row>
    <row r="18">
      <c r="A18" s="7">
        <v>54.0</v>
      </c>
      <c r="B18" s="8" t="s">
        <v>65</v>
      </c>
      <c r="C18" s="8" t="s">
        <v>66</v>
      </c>
      <c r="D18" s="8" t="s">
        <v>67</v>
      </c>
      <c r="E18" s="8" t="s">
        <v>62</v>
      </c>
      <c r="F18" s="10" t="s">
        <v>178</v>
      </c>
      <c r="G18" s="4" t="s">
        <v>41</v>
      </c>
      <c r="H18" s="4" t="s">
        <v>17</v>
      </c>
      <c r="I18" s="4" t="s">
        <v>18</v>
      </c>
      <c r="J18" s="4" t="s">
        <v>45</v>
      </c>
      <c r="K18" s="4" t="s">
        <v>27</v>
      </c>
    </row>
    <row r="19">
      <c r="A19" s="7">
        <v>56.0</v>
      </c>
      <c r="B19" s="8" t="s">
        <v>65</v>
      </c>
      <c r="C19" s="8" t="s">
        <v>66</v>
      </c>
      <c r="D19" s="8" t="s">
        <v>67</v>
      </c>
      <c r="E19" s="8" t="s">
        <v>111</v>
      </c>
      <c r="F19" s="9" t="s">
        <v>179</v>
      </c>
      <c r="G19" s="4" t="s">
        <v>16</v>
      </c>
      <c r="H19" s="4" t="s">
        <v>17</v>
      </c>
      <c r="I19" s="4" t="s">
        <v>18</v>
      </c>
      <c r="J19" s="4" t="s">
        <v>19</v>
      </c>
      <c r="K19" s="4" t="s">
        <v>20</v>
      </c>
    </row>
    <row r="20">
      <c r="A20" s="7">
        <v>57.0</v>
      </c>
      <c r="B20" s="8" t="s">
        <v>65</v>
      </c>
      <c r="C20" s="8" t="s">
        <v>66</v>
      </c>
      <c r="D20" s="8" t="s">
        <v>67</v>
      </c>
      <c r="E20" s="8" t="s">
        <v>111</v>
      </c>
      <c r="F20" s="9" t="s">
        <v>180</v>
      </c>
      <c r="G20" s="4" t="s">
        <v>16</v>
      </c>
      <c r="H20" s="4" t="s">
        <v>17</v>
      </c>
      <c r="I20" s="4" t="s">
        <v>18</v>
      </c>
      <c r="J20" s="4" t="s">
        <v>19</v>
      </c>
      <c r="K20" s="4" t="s">
        <v>20</v>
      </c>
    </row>
    <row r="21">
      <c r="A21" s="7">
        <v>59.0</v>
      </c>
      <c r="B21" s="8" t="s">
        <v>65</v>
      </c>
      <c r="C21" s="8" t="s">
        <v>66</v>
      </c>
      <c r="D21" s="8" t="s">
        <v>67</v>
      </c>
      <c r="E21" s="8" t="s">
        <v>114</v>
      </c>
      <c r="F21" s="9" t="s">
        <v>181</v>
      </c>
      <c r="G21" s="4" t="s">
        <v>16</v>
      </c>
      <c r="H21" s="4" t="s">
        <v>17</v>
      </c>
      <c r="I21" s="4" t="s">
        <v>18</v>
      </c>
      <c r="J21" s="4" t="s">
        <v>19</v>
      </c>
      <c r="K21" s="4" t="s">
        <v>20</v>
      </c>
    </row>
    <row r="22">
      <c r="A22" s="7">
        <v>60.0</v>
      </c>
      <c r="B22" s="8" t="s">
        <v>65</v>
      </c>
      <c r="C22" s="8" t="s">
        <v>66</v>
      </c>
      <c r="D22" s="8" t="s">
        <v>67</v>
      </c>
      <c r="E22" s="8" t="s">
        <v>117</v>
      </c>
      <c r="F22" s="9" t="s">
        <v>182</v>
      </c>
      <c r="G22" s="4" t="s">
        <v>16</v>
      </c>
      <c r="H22" s="4" t="s">
        <v>17</v>
      </c>
      <c r="I22" s="4" t="s">
        <v>18</v>
      </c>
      <c r="J22" s="4" t="s">
        <v>19</v>
      </c>
      <c r="K22" s="4" t="s">
        <v>20</v>
      </c>
    </row>
    <row r="23">
      <c r="A23" s="7">
        <v>67.0</v>
      </c>
      <c r="B23" s="8" t="s">
        <v>65</v>
      </c>
      <c r="C23" s="8" t="s">
        <v>66</v>
      </c>
      <c r="D23" s="8" t="s">
        <v>67</v>
      </c>
      <c r="E23" s="8" t="s">
        <v>88</v>
      </c>
      <c r="F23" s="9" t="s">
        <v>183</v>
      </c>
      <c r="G23" s="4" t="s">
        <v>41</v>
      </c>
      <c r="H23" s="4" t="s">
        <v>17</v>
      </c>
      <c r="I23" s="4" t="s">
        <v>18</v>
      </c>
      <c r="J23" s="4" t="s">
        <v>19</v>
      </c>
      <c r="K23" s="4" t="s">
        <v>27</v>
      </c>
    </row>
    <row r="24">
      <c r="A24" s="7">
        <v>71.0</v>
      </c>
      <c r="B24" s="8" t="s">
        <v>65</v>
      </c>
      <c r="C24" s="8" t="s">
        <v>66</v>
      </c>
      <c r="D24" s="8" t="s">
        <v>67</v>
      </c>
      <c r="E24" s="8" t="s">
        <v>93</v>
      </c>
      <c r="F24" s="9" t="s">
        <v>184</v>
      </c>
      <c r="G24" s="4" t="s">
        <v>16</v>
      </c>
      <c r="H24" s="4" t="s">
        <v>17</v>
      </c>
      <c r="I24" s="4" t="s">
        <v>18</v>
      </c>
      <c r="J24" s="4" t="s">
        <v>19</v>
      </c>
      <c r="K24" s="4" t="s">
        <v>20</v>
      </c>
    </row>
    <row r="25">
      <c r="A25" s="7">
        <v>72.0</v>
      </c>
      <c r="B25" s="8" t="s">
        <v>65</v>
      </c>
      <c r="C25" s="8" t="s">
        <v>66</v>
      </c>
      <c r="D25" s="8" t="s">
        <v>67</v>
      </c>
      <c r="E25" s="8" t="s">
        <v>34</v>
      </c>
      <c r="F25" s="9" t="s">
        <v>185</v>
      </c>
      <c r="G25" s="4" t="s">
        <v>16</v>
      </c>
      <c r="H25" s="4" t="s">
        <v>17</v>
      </c>
      <c r="I25" s="4" t="s">
        <v>26</v>
      </c>
      <c r="J25" s="4" t="s">
        <v>19</v>
      </c>
      <c r="K25" s="4" t="s">
        <v>27</v>
      </c>
    </row>
    <row r="26">
      <c r="A26" s="7">
        <v>74.0</v>
      </c>
      <c r="B26" s="8" t="s">
        <v>96</v>
      </c>
      <c r="C26" s="8" t="s">
        <v>97</v>
      </c>
      <c r="D26" s="8" t="s">
        <v>98</v>
      </c>
      <c r="E26" s="8" t="s">
        <v>39</v>
      </c>
      <c r="F26" s="9" t="s">
        <v>186</v>
      </c>
      <c r="G26" s="4" t="s">
        <v>41</v>
      </c>
      <c r="H26" s="4" t="s">
        <v>42</v>
      </c>
      <c r="I26" s="4" t="s">
        <v>18</v>
      </c>
      <c r="J26" s="4" t="s">
        <v>19</v>
      </c>
      <c r="K26" s="4" t="s">
        <v>27</v>
      </c>
    </row>
    <row r="27">
      <c r="A27" s="7">
        <v>75.0</v>
      </c>
      <c r="B27" s="8" t="s">
        <v>96</v>
      </c>
      <c r="C27" s="8" t="s">
        <v>97</v>
      </c>
      <c r="D27" s="8" t="s">
        <v>98</v>
      </c>
      <c r="E27" s="8" t="s">
        <v>39</v>
      </c>
      <c r="F27" s="9" t="s">
        <v>187</v>
      </c>
      <c r="G27" s="4" t="s">
        <v>41</v>
      </c>
      <c r="H27" s="4" t="s">
        <v>17</v>
      </c>
      <c r="I27" s="4" t="s">
        <v>18</v>
      </c>
      <c r="J27" s="4" t="s">
        <v>19</v>
      </c>
      <c r="K27" s="4" t="s">
        <v>27</v>
      </c>
    </row>
    <row r="28">
      <c r="A28" s="7">
        <v>77.0</v>
      </c>
      <c r="B28" s="8" t="s">
        <v>96</v>
      </c>
      <c r="C28" s="8" t="s">
        <v>97</v>
      </c>
      <c r="D28" s="8" t="s">
        <v>98</v>
      </c>
      <c r="E28" s="8" t="s">
        <v>14</v>
      </c>
      <c r="F28" s="9" t="s">
        <v>99</v>
      </c>
      <c r="G28" s="4" t="s">
        <v>16</v>
      </c>
      <c r="H28" s="4" t="s">
        <v>17</v>
      </c>
      <c r="I28" s="4" t="s">
        <v>26</v>
      </c>
      <c r="J28" s="4" t="s">
        <v>45</v>
      </c>
      <c r="K28" s="4" t="s">
        <v>27</v>
      </c>
    </row>
    <row r="29">
      <c r="A29" s="7">
        <v>78.0</v>
      </c>
      <c r="B29" s="8" t="s">
        <v>96</v>
      </c>
      <c r="C29" s="8" t="s">
        <v>97</v>
      </c>
      <c r="D29" s="8" t="s">
        <v>98</v>
      </c>
      <c r="E29" s="8" t="s">
        <v>21</v>
      </c>
      <c r="F29" s="9" t="s">
        <v>100</v>
      </c>
      <c r="G29" s="4" t="s">
        <v>16</v>
      </c>
      <c r="H29" s="4" t="s">
        <v>17</v>
      </c>
      <c r="I29" s="4" t="s">
        <v>18</v>
      </c>
      <c r="J29" s="4" t="s">
        <v>19</v>
      </c>
      <c r="K29" s="4" t="s">
        <v>20</v>
      </c>
    </row>
    <row r="30">
      <c r="A30" s="7">
        <v>79.0</v>
      </c>
      <c r="B30" s="8" t="s">
        <v>96</v>
      </c>
      <c r="C30" s="8" t="s">
        <v>97</v>
      </c>
      <c r="D30" s="8" t="s">
        <v>98</v>
      </c>
      <c r="E30" s="8" t="s">
        <v>21</v>
      </c>
      <c r="F30" s="9" t="s">
        <v>188</v>
      </c>
      <c r="G30" s="4" t="s">
        <v>16</v>
      </c>
      <c r="H30" s="4" t="s">
        <v>42</v>
      </c>
      <c r="I30" s="4" t="s">
        <v>18</v>
      </c>
      <c r="J30" s="4" t="s">
        <v>19</v>
      </c>
      <c r="K30" s="4" t="s">
        <v>27</v>
      </c>
    </row>
    <row r="31">
      <c r="A31" s="7">
        <v>83.0</v>
      </c>
      <c r="B31" s="8" t="s">
        <v>96</v>
      </c>
      <c r="C31" s="8" t="s">
        <v>97</v>
      </c>
      <c r="D31" s="8" t="s">
        <v>98</v>
      </c>
      <c r="E31" s="8" t="s">
        <v>29</v>
      </c>
      <c r="F31" s="9" t="s">
        <v>103</v>
      </c>
      <c r="G31" s="4" t="s">
        <v>16</v>
      </c>
      <c r="H31" s="4" t="s">
        <v>17</v>
      </c>
      <c r="I31" s="4" t="s">
        <v>18</v>
      </c>
      <c r="J31" s="4" t="s">
        <v>19</v>
      </c>
      <c r="K31" s="4" t="s">
        <v>20</v>
      </c>
    </row>
    <row r="32">
      <c r="A32" s="7">
        <v>88.0</v>
      </c>
      <c r="B32" s="8" t="s">
        <v>96</v>
      </c>
      <c r="C32" s="8" t="s">
        <v>97</v>
      </c>
      <c r="D32" s="8" t="s">
        <v>98</v>
      </c>
      <c r="E32" s="8" t="s">
        <v>56</v>
      </c>
      <c r="F32" s="9" t="s">
        <v>189</v>
      </c>
      <c r="G32" s="4" t="s">
        <v>16</v>
      </c>
      <c r="H32" s="4" t="s">
        <v>17</v>
      </c>
      <c r="I32" s="4" t="s">
        <v>18</v>
      </c>
      <c r="J32" s="4" t="s">
        <v>19</v>
      </c>
      <c r="K32" s="4" t="s">
        <v>20</v>
      </c>
    </row>
    <row r="33">
      <c r="A33" s="7">
        <v>91.0</v>
      </c>
      <c r="B33" s="8" t="s">
        <v>96</v>
      </c>
      <c r="C33" s="8" t="s">
        <v>97</v>
      </c>
      <c r="D33" s="8" t="s">
        <v>98</v>
      </c>
      <c r="E33" s="8" t="s">
        <v>59</v>
      </c>
      <c r="F33" s="9" t="s">
        <v>109</v>
      </c>
      <c r="G33" s="4" t="s">
        <v>16</v>
      </c>
      <c r="H33" s="4" t="s">
        <v>17</v>
      </c>
      <c r="I33" s="4" t="s">
        <v>18</v>
      </c>
      <c r="J33" s="4" t="s">
        <v>19</v>
      </c>
      <c r="K33" s="4" t="s">
        <v>20</v>
      </c>
    </row>
    <row r="34">
      <c r="A34" s="7">
        <v>96.0</v>
      </c>
      <c r="B34" s="8" t="s">
        <v>96</v>
      </c>
      <c r="C34" s="8" t="s">
        <v>97</v>
      </c>
      <c r="D34" s="8" t="s">
        <v>98</v>
      </c>
      <c r="E34" s="8" t="s">
        <v>114</v>
      </c>
      <c r="F34" s="9" t="s">
        <v>115</v>
      </c>
      <c r="G34" s="4" t="s">
        <v>16</v>
      </c>
      <c r="H34" s="4" t="s">
        <v>17</v>
      </c>
      <c r="I34" s="4" t="s">
        <v>18</v>
      </c>
      <c r="J34" s="4" t="s">
        <v>19</v>
      </c>
      <c r="K34" s="4" t="s">
        <v>20</v>
      </c>
    </row>
    <row r="35">
      <c r="A35" s="7">
        <v>104.0</v>
      </c>
      <c r="B35" s="8" t="s">
        <v>96</v>
      </c>
      <c r="C35" s="8" t="s">
        <v>97</v>
      </c>
      <c r="D35" s="8" t="s">
        <v>98</v>
      </c>
      <c r="E35" s="8" t="s">
        <v>34</v>
      </c>
      <c r="F35" s="9" t="s">
        <v>190</v>
      </c>
      <c r="G35" s="4" t="s">
        <v>16</v>
      </c>
      <c r="H35" s="4" t="s">
        <v>17</v>
      </c>
      <c r="I35" s="4" t="s">
        <v>18</v>
      </c>
      <c r="J35" s="4" t="s">
        <v>19</v>
      </c>
      <c r="K35" s="4" t="s">
        <v>20</v>
      </c>
    </row>
    <row r="36">
      <c r="A36" s="7">
        <v>106.0</v>
      </c>
      <c r="B36" s="8" t="s">
        <v>126</v>
      </c>
      <c r="C36" s="8" t="s">
        <v>127</v>
      </c>
      <c r="D36" s="8" t="s">
        <v>128</v>
      </c>
      <c r="E36" s="8" t="s">
        <v>39</v>
      </c>
      <c r="F36" s="9" t="s">
        <v>191</v>
      </c>
      <c r="G36" s="4" t="s">
        <v>16</v>
      </c>
      <c r="H36" s="4" t="s">
        <v>17</v>
      </c>
      <c r="I36" s="4" t="s">
        <v>18</v>
      </c>
      <c r="J36" s="4" t="s">
        <v>19</v>
      </c>
      <c r="K36" s="4" t="s">
        <v>20</v>
      </c>
    </row>
    <row r="37">
      <c r="A37" s="7">
        <v>109.0</v>
      </c>
      <c r="B37" s="8" t="s">
        <v>126</v>
      </c>
      <c r="C37" s="8" t="s">
        <v>127</v>
      </c>
      <c r="D37" s="8" t="s">
        <v>128</v>
      </c>
      <c r="E37" s="8" t="s">
        <v>14</v>
      </c>
      <c r="F37" s="9" t="s">
        <v>192</v>
      </c>
      <c r="G37" s="4" t="s">
        <v>16</v>
      </c>
      <c r="H37" s="4" t="s">
        <v>17</v>
      </c>
      <c r="I37" s="4" t="s">
        <v>18</v>
      </c>
      <c r="J37" s="4" t="s">
        <v>19</v>
      </c>
      <c r="K37" s="4" t="s">
        <v>20</v>
      </c>
    </row>
    <row r="38">
      <c r="A38" s="7">
        <v>110.0</v>
      </c>
      <c r="B38" s="8" t="s">
        <v>126</v>
      </c>
      <c r="C38" s="8" t="s">
        <v>127</v>
      </c>
      <c r="D38" s="8" t="s">
        <v>128</v>
      </c>
      <c r="E38" s="8" t="s">
        <v>21</v>
      </c>
      <c r="F38" s="9" t="s">
        <v>193</v>
      </c>
      <c r="G38" s="4" t="s">
        <v>16</v>
      </c>
      <c r="H38" s="4" t="s">
        <v>17</v>
      </c>
      <c r="I38" s="4" t="s">
        <v>18</v>
      </c>
      <c r="J38" s="4" t="s">
        <v>19</v>
      </c>
      <c r="K38" s="4" t="s">
        <v>20</v>
      </c>
    </row>
    <row r="39">
      <c r="A39" s="7">
        <v>111.0</v>
      </c>
      <c r="B39" s="8" t="s">
        <v>126</v>
      </c>
      <c r="C39" s="8" t="s">
        <v>127</v>
      </c>
      <c r="D39" s="8" t="s">
        <v>128</v>
      </c>
      <c r="E39" s="8" t="s">
        <v>21</v>
      </c>
      <c r="F39" s="9" t="s">
        <v>131</v>
      </c>
      <c r="G39" s="4" t="s">
        <v>16</v>
      </c>
      <c r="H39" s="4" t="s">
        <v>17</v>
      </c>
      <c r="I39" s="4" t="s">
        <v>18</v>
      </c>
      <c r="J39" s="4" t="s">
        <v>19</v>
      </c>
      <c r="K39" s="4" t="s">
        <v>20</v>
      </c>
    </row>
    <row r="40">
      <c r="A40" s="7">
        <v>112.0</v>
      </c>
      <c r="B40" s="8" t="s">
        <v>126</v>
      </c>
      <c r="C40" s="8" t="s">
        <v>127</v>
      </c>
      <c r="D40" s="8" t="s">
        <v>128</v>
      </c>
      <c r="E40" s="8" t="s">
        <v>24</v>
      </c>
      <c r="F40" s="9" t="s">
        <v>194</v>
      </c>
      <c r="G40" s="4" t="s">
        <v>16</v>
      </c>
      <c r="H40" s="4" t="s">
        <v>17</v>
      </c>
      <c r="I40" s="4" t="s">
        <v>18</v>
      </c>
      <c r="J40" s="4" t="s">
        <v>19</v>
      </c>
      <c r="K40" s="4" t="s">
        <v>20</v>
      </c>
    </row>
    <row r="41">
      <c r="A41" s="7">
        <v>119.0</v>
      </c>
      <c r="B41" s="8" t="s">
        <v>136</v>
      </c>
      <c r="C41" s="4" t="s">
        <v>137</v>
      </c>
      <c r="D41" s="8" t="s">
        <v>138</v>
      </c>
      <c r="E41" s="8" t="s">
        <v>39</v>
      </c>
      <c r="F41" s="9" t="s">
        <v>195</v>
      </c>
      <c r="G41" s="4" t="s">
        <v>16</v>
      </c>
      <c r="H41" s="4" t="s">
        <v>17</v>
      </c>
      <c r="I41" s="4" t="s">
        <v>18</v>
      </c>
      <c r="J41" s="4" t="s">
        <v>45</v>
      </c>
      <c r="K41" s="4" t="s">
        <v>20</v>
      </c>
    </row>
    <row r="42">
      <c r="A42" s="7">
        <v>121.0</v>
      </c>
      <c r="B42" s="8" t="s">
        <v>136</v>
      </c>
      <c r="C42" s="4" t="s">
        <v>137</v>
      </c>
      <c r="D42" s="8" t="s">
        <v>138</v>
      </c>
      <c r="E42" s="8" t="s">
        <v>14</v>
      </c>
      <c r="F42" s="9" t="s">
        <v>196</v>
      </c>
      <c r="G42" s="4" t="s">
        <v>16</v>
      </c>
      <c r="H42" s="4" t="s">
        <v>17</v>
      </c>
      <c r="I42" s="4" t="s">
        <v>18</v>
      </c>
      <c r="J42" s="4" t="s">
        <v>45</v>
      </c>
      <c r="K42" s="4" t="s">
        <v>27</v>
      </c>
    </row>
    <row r="43">
      <c r="A43" s="7">
        <v>124.0</v>
      </c>
      <c r="B43" s="8" t="s">
        <v>136</v>
      </c>
      <c r="C43" s="4" t="s">
        <v>137</v>
      </c>
      <c r="D43" s="8" t="s">
        <v>138</v>
      </c>
      <c r="E43" s="8" t="s">
        <v>24</v>
      </c>
      <c r="F43" s="9" t="s">
        <v>197</v>
      </c>
      <c r="G43" s="4" t="s">
        <v>16</v>
      </c>
      <c r="H43" s="4" t="s">
        <v>17</v>
      </c>
      <c r="I43" s="4" t="s">
        <v>18</v>
      </c>
      <c r="J43" s="4" t="s">
        <v>19</v>
      </c>
      <c r="K43" s="4" t="s">
        <v>20</v>
      </c>
    </row>
    <row r="44">
      <c r="A44" s="7">
        <v>125.0</v>
      </c>
      <c r="B44" s="8" t="s">
        <v>136</v>
      </c>
      <c r="C44" s="4" t="s">
        <v>137</v>
      </c>
      <c r="D44" s="8" t="s">
        <v>138</v>
      </c>
      <c r="E44" s="8" t="s">
        <v>24</v>
      </c>
      <c r="F44" s="9" t="s">
        <v>198</v>
      </c>
      <c r="G44" s="4" t="s">
        <v>16</v>
      </c>
      <c r="H44" s="4" t="s">
        <v>17</v>
      </c>
      <c r="I44" s="4" t="s">
        <v>18</v>
      </c>
      <c r="J44" s="4" t="s">
        <v>19</v>
      </c>
      <c r="K44" s="4" t="s">
        <v>20</v>
      </c>
    </row>
    <row r="45">
      <c r="A45" s="7">
        <v>126.0</v>
      </c>
      <c r="B45" s="8" t="s">
        <v>136</v>
      </c>
      <c r="C45" s="4" t="s">
        <v>137</v>
      </c>
      <c r="D45" s="8" t="s">
        <v>138</v>
      </c>
      <c r="E45" s="8" t="s">
        <v>29</v>
      </c>
      <c r="F45" s="9" t="s">
        <v>199</v>
      </c>
      <c r="G45" s="4" t="s">
        <v>16</v>
      </c>
      <c r="H45" s="4" t="s">
        <v>17</v>
      </c>
      <c r="I45" s="4" t="s">
        <v>18</v>
      </c>
      <c r="J45" s="4" t="s">
        <v>19</v>
      </c>
      <c r="K45" s="4" t="s">
        <v>20</v>
      </c>
    </row>
    <row r="46">
      <c r="A46" s="7">
        <v>127.0</v>
      </c>
      <c r="B46" s="8" t="s">
        <v>136</v>
      </c>
      <c r="C46" s="4" t="s">
        <v>137</v>
      </c>
      <c r="D46" s="8" t="s">
        <v>138</v>
      </c>
      <c r="E46" s="8" t="s">
        <v>29</v>
      </c>
      <c r="F46" s="9" t="s">
        <v>200</v>
      </c>
      <c r="G46" s="4" t="s">
        <v>16</v>
      </c>
      <c r="H46" s="4" t="s">
        <v>17</v>
      </c>
      <c r="I46" s="4" t="s">
        <v>18</v>
      </c>
      <c r="J46" s="4" t="s">
        <v>19</v>
      </c>
      <c r="K46" s="4" t="s">
        <v>20</v>
      </c>
    </row>
    <row r="47">
      <c r="A47" s="7">
        <v>128.0</v>
      </c>
      <c r="B47" s="8" t="s">
        <v>136</v>
      </c>
      <c r="C47" s="4" t="s">
        <v>137</v>
      </c>
      <c r="D47" s="8" t="s">
        <v>138</v>
      </c>
      <c r="E47" s="8" t="s">
        <v>31</v>
      </c>
      <c r="F47" s="9" t="s">
        <v>201</v>
      </c>
      <c r="G47" s="4" t="s">
        <v>16</v>
      </c>
      <c r="H47" s="4" t="s">
        <v>17</v>
      </c>
      <c r="I47" s="4" t="s">
        <v>18</v>
      </c>
      <c r="J47" s="4" t="s">
        <v>45</v>
      </c>
      <c r="K47" s="4" t="s">
        <v>27</v>
      </c>
    </row>
    <row r="48">
      <c r="A48" s="7">
        <v>133.0</v>
      </c>
      <c r="B48" s="8" t="s">
        <v>136</v>
      </c>
      <c r="C48" s="4" t="s">
        <v>137</v>
      </c>
      <c r="D48" s="8" t="s">
        <v>138</v>
      </c>
      <c r="E48" s="8" t="s">
        <v>56</v>
      </c>
      <c r="F48" s="9" t="s">
        <v>143</v>
      </c>
      <c r="G48" s="4" t="s">
        <v>16</v>
      </c>
      <c r="H48" s="4" t="s">
        <v>17</v>
      </c>
      <c r="I48" s="4" t="s">
        <v>18</v>
      </c>
      <c r="J48" s="4" t="s">
        <v>45</v>
      </c>
      <c r="K48" s="4" t="s">
        <v>20</v>
      </c>
    </row>
    <row r="49">
      <c r="A49" s="7">
        <v>143.0</v>
      </c>
      <c r="B49" s="8" t="s">
        <v>136</v>
      </c>
      <c r="C49" s="4" t="s">
        <v>137</v>
      </c>
      <c r="D49" s="8" t="s">
        <v>138</v>
      </c>
      <c r="E49" s="8" t="s">
        <v>117</v>
      </c>
      <c r="F49" s="9" t="s">
        <v>202</v>
      </c>
      <c r="G49" s="4" t="s">
        <v>41</v>
      </c>
      <c r="H49" s="4" t="s">
        <v>17</v>
      </c>
      <c r="I49" s="4" t="s">
        <v>18</v>
      </c>
      <c r="J49" s="4" t="s">
        <v>19</v>
      </c>
      <c r="K49" s="4" t="s">
        <v>27</v>
      </c>
      <c r="L49" s="4" t="s">
        <v>203</v>
      </c>
    </row>
    <row r="50">
      <c r="A50" s="7">
        <v>144.0</v>
      </c>
      <c r="B50" s="8" t="s">
        <v>136</v>
      </c>
      <c r="C50" s="4" t="s">
        <v>137</v>
      </c>
      <c r="D50" s="8" t="s">
        <v>138</v>
      </c>
      <c r="E50" s="8" t="s">
        <v>82</v>
      </c>
      <c r="F50" s="9" t="s">
        <v>204</v>
      </c>
      <c r="G50" s="4" t="s">
        <v>16</v>
      </c>
      <c r="H50" s="4" t="s">
        <v>17</v>
      </c>
      <c r="I50" s="4" t="s">
        <v>18</v>
      </c>
      <c r="J50" s="4" t="s">
        <v>45</v>
      </c>
      <c r="K50" s="4" t="s">
        <v>20</v>
      </c>
    </row>
    <row r="51">
      <c r="A51" s="7">
        <v>147.0</v>
      </c>
      <c r="B51" s="8" t="s">
        <v>136</v>
      </c>
      <c r="C51" s="4" t="s">
        <v>137</v>
      </c>
      <c r="D51" s="8" t="s">
        <v>138</v>
      </c>
      <c r="E51" s="8" t="s">
        <v>34</v>
      </c>
      <c r="F51" s="9" t="s">
        <v>205</v>
      </c>
      <c r="G51" s="4" t="s">
        <v>16</v>
      </c>
      <c r="H51" s="4" t="s">
        <v>17</v>
      </c>
      <c r="I51" s="4" t="s">
        <v>18</v>
      </c>
      <c r="J51" s="4" t="s">
        <v>19</v>
      </c>
      <c r="K51" s="4" t="s">
        <v>20</v>
      </c>
    </row>
    <row r="52">
      <c r="A52" s="7">
        <v>148.0</v>
      </c>
      <c r="B52" s="8" t="s">
        <v>155</v>
      </c>
      <c r="C52" s="8" t="s">
        <v>156</v>
      </c>
      <c r="D52" s="8" t="s">
        <v>157</v>
      </c>
      <c r="E52" s="8" t="s">
        <v>39</v>
      </c>
      <c r="F52" s="9" t="s">
        <v>158</v>
      </c>
      <c r="G52" s="4" t="s">
        <v>16</v>
      </c>
      <c r="H52" s="4" t="s">
        <v>17</v>
      </c>
      <c r="I52" s="4" t="s">
        <v>26</v>
      </c>
      <c r="J52" s="4" t="s">
        <v>45</v>
      </c>
      <c r="K52" s="4" t="s">
        <v>27</v>
      </c>
    </row>
    <row r="53">
      <c r="A53" s="7">
        <v>152.0</v>
      </c>
      <c r="B53" s="8" t="s">
        <v>155</v>
      </c>
      <c r="C53" s="8" t="s">
        <v>156</v>
      </c>
      <c r="D53" s="8" t="s">
        <v>157</v>
      </c>
      <c r="E53" s="8" t="s">
        <v>21</v>
      </c>
      <c r="F53" s="9" t="s">
        <v>206</v>
      </c>
      <c r="G53" s="4" t="s">
        <v>16</v>
      </c>
      <c r="H53" s="4" t="s">
        <v>42</v>
      </c>
      <c r="I53" s="4" t="s">
        <v>18</v>
      </c>
      <c r="J53" s="4" t="s">
        <v>45</v>
      </c>
      <c r="K53" s="4" t="s">
        <v>27</v>
      </c>
    </row>
    <row r="54">
      <c r="A54" s="7">
        <v>160.0</v>
      </c>
      <c r="B54" s="8" t="s">
        <v>155</v>
      </c>
      <c r="C54" s="8" t="s">
        <v>156</v>
      </c>
      <c r="D54" s="8" t="s">
        <v>157</v>
      </c>
      <c r="E54" s="8" t="s">
        <v>34</v>
      </c>
      <c r="F54" s="9" t="s">
        <v>207</v>
      </c>
      <c r="G54" s="4" t="s">
        <v>16</v>
      </c>
      <c r="H54" s="4" t="s">
        <v>17</v>
      </c>
      <c r="I54" s="4" t="s">
        <v>18</v>
      </c>
      <c r="J54" s="4" t="s">
        <v>19</v>
      </c>
      <c r="K54" s="4" t="s">
        <v>20</v>
      </c>
    </row>
    <row r="55">
      <c r="A55" s="7">
        <v>161.0</v>
      </c>
      <c r="B55" s="8" t="s">
        <v>155</v>
      </c>
      <c r="C55" s="8" t="s">
        <v>156</v>
      </c>
      <c r="D55" s="8" t="s">
        <v>157</v>
      </c>
      <c r="E55" s="8" t="s">
        <v>34</v>
      </c>
      <c r="F55" s="9" t="s">
        <v>166</v>
      </c>
      <c r="G55" s="4" t="s">
        <v>16</v>
      </c>
      <c r="H55" s="4" t="s">
        <v>17</v>
      </c>
      <c r="I55" s="4" t="s">
        <v>18</v>
      </c>
      <c r="J55" s="4" t="s">
        <v>19</v>
      </c>
      <c r="K55" s="4" t="s">
        <v>20</v>
      </c>
    </row>
    <row r="56">
      <c r="F56" s="9"/>
    </row>
    <row r="57">
      <c r="F57" s="9"/>
    </row>
    <row r="58">
      <c r="F58" s="9"/>
    </row>
    <row r="59">
      <c r="F59" s="9"/>
    </row>
    <row r="60">
      <c r="F60" s="9"/>
    </row>
    <row r="61">
      <c r="F61" s="9"/>
    </row>
    <row r="62">
      <c r="F62" s="9"/>
    </row>
    <row r="63">
      <c r="F63" s="9"/>
    </row>
    <row r="64">
      <c r="F64" s="9"/>
    </row>
    <row r="65">
      <c r="F65" s="9"/>
    </row>
    <row r="66">
      <c r="F66" s="9"/>
    </row>
    <row r="67">
      <c r="F67" s="9"/>
    </row>
    <row r="68">
      <c r="F68" s="9"/>
    </row>
    <row r="69">
      <c r="F69" s="9"/>
    </row>
    <row r="70">
      <c r="F70" s="9"/>
    </row>
    <row r="71">
      <c r="F71" s="9"/>
    </row>
    <row r="72">
      <c r="F72" s="9"/>
    </row>
    <row r="73">
      <c r="F73" s="9"/>
    </row>
    <row r="74">
      <c r="F74" s="9"/>
    </row>
    <row r="75">
      <c r="F75" s="9"/>
    </row>
    <row r="76">
      <c r="F76" s="9"/>
    </row>
    <row r="77">
      <c r="F77" s="9"/>
    </row>
    <row r="78">
      <c r="F78" s="9"/>
    </row>
    <row r="79">
      <c r="F79" s="9"/>
    </row>
    <row r="80">
      <c r="F80" s="9"/>
    </row>
    <row r="81">
      <c r="F81" s="9"/>
    </row>
    <row r="82">
      <c r="F82" s="9"/>
    </row>
    <row r="83">
      <c r="F83" s="9"/>
    </row>
    <row r="84">
      <c r="F84" s="9"/>
    </row>
    <row r="85">
      <c r="F85" s="9"/>
    </row>
    <row r="86">
      <c r="F86" s="9"/>
    </row>
    <row r="87">
      <c r="F87" s="9"/>
    </row>
    <row r="88">
      <c r="F88" s="9"/>
    </row>
    <row r="89">
      <c r="F89" s="9"/>
    </row>
    <row r="90">
      <c r="F90" s="9"/>
    </row>
    <row r="91">
      <c r="F91" s="9"/>
    </row>
    <row r="92">
      <c r="F92" s="9"/>
    </row>
    <row r="93">
      <c r="F93" s="9"/>
    </row>
    <row r="94">
      <c r="F94" s="9"/>
    </row>
    <row r="95">
      <c r="F95" s="9"/>
    </row>
    <row r="96">
      <c r="F96" s="9"/>
    </row>
    <row r="97">
      <c r="F97" s="9"/>
    </row>
    <row r="98">
      <c r="F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row r="988">
      <c r="F988" s="9"/>
    </row>
    <row r="989">
      <c r="F989" s="9"/>
    </row>
    <row r="990">
      <c r="F990" s="9"/>
    </row>
    <row r="991">
      <c r="F991" s="9"/>
    </row>
    <row r="992">
      <c r="F992" s="9"/>
    </row>
    <row r="993">
      <c r="F993" s="9"/>
    </row>
    <row r="994">
      <c r="F994" s="9"/>
    </row>
    <row r="995">
      <c r="F995" s="9"/>
    </row>
    <row r="996">
      <c r="F996" s="9"/>
    </row>
    <row r="997">
      <c r="F997" s="9"/>
    </row>
    <row r="998">
      <c r="F998" s="9"/>
    </row>
    <row r="999">
      <c r="F999" s="9"/>
    </row>
    <row r="1000">
      <c r="F1000" s="9"/>
    </row>
    <row r="1001">
      <c r="F1001" s="9"/>
    </row>
    <row r="1002">
      <c r="F1002" s="9"/>
    </row>
  </sheetData>
  <dataValidations>
    <dataValidation type="list" allowBlank="1" showErrorMessage="1" sqref="I2:I55">
      <formula1>"Not long term,Long term/historical"</formula1>
    </dataValidation>
    <dataValidation type="list" allowBlank="1" showErrorMessage="1" sqref="K2:K55">
      <formula1>"Keep,Discard"</formula1>
    </dataValidation>
    <dataValidation type="list" allowBlank="1" showErrorMessage="1" sqref="H2:H55">
      <formula1>"Not too political,Too political"</formula1>
    </dataValidation>
    <dataValidation type="list" allowBlank="1" showErrorMessage="1" sqref="G2:G55">
      <formula1>"Relevant,Not relevant"</formula1>
    </dataValidation>
    <dataValidation type="list" allowBlank="1" showErrorMessage="1" sqref="J2:J55">
      <formula1>"Good,Too general/too specific"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84.29"/>
  </cols>
  <sheetData>
    <row r="1" ht="15.75" customHeight="1">
      <c r="A1" s="1" t="s">
        <v>0</v>
      </c>
      <c r="B1" s="2" t="s">
        <v>1</v>
      </c>
      <c r="C1" s="2" t="s">
        <v>2</v>
      </c>
      <c r="D1" s="2" t="s">
        <v>3</v>
      </c>
      <c r="E1" s="2" t="s">
        <v>4</v>
      </c>
      <c r="F1" s="3" t="s">
        <v>5</v>
      </c>
      <c r="G1" s="4" t="s">
        <v>6</v>
      </c>
      <c r="H1" s="4" t="s">
        <v>7</v>
      </c>
      <c r="I1" s="4" t="s">
        <v>8</v>
      </c>
      <c r="J1" s="4" t="s">
        <v>9</v>
      </c>
      <c r="K1" s="4" t="s">
        <v>10</v>
      </c>
    </row>
    <row r="2">
      <c r="A2" s="2">
        <v>2.0</v>
      </c>
      <c r="B2" s="5" t="s">
        <v>11</v>
      </c>
      <c r="C2" s="5" t="s">
        <v>12</v>
      </c>
      <c r="D2" s="5" t="s">
        <v>13</v>
      </c>
      <c r="E2" s="5" t="s">
        <v>14</v>
      </c>
      <c r="F2" s="11" t="s">
        <v>208</v>
      </c>
      <c r="G2" s="4" t="s">
        <v>16</v>
      </c>
      <c r="H2" s="4" t="s">
        <v>17</v>
      </c>
      <c r="I2" s="4" t="s">
        <v>18</v>
      </c>
      <c r="J2" s="4" t="s">
        <v>19</v>
      </c>
      <c r="K2" s="4" t="s">
        <v>20</v>
      </c>
    </row>
    <row r="3">
      <c r="A3" s="7">
        <v>4.0</v>
      </c>
      <c r="B3" s="8" t="s">
        <v>11</v>
      </c>
      <c r="C3" s="8" t="s">
        <v>12</v>
      </c>
      <c r="D3" s="8" t="s">
        <v>13</v>
      </c>
      <c r="E3" s="8" t="s">
        <v>21</v>
      </c>
      <c r="F3" s="9" t="s">
        <v>22</v>
      </c>
      <c r="G3" s="4" t="s">
        <v>16</v>
      </c>
      <c r="H3" s="4" t="s">
        <v>17</v>
      </c>
      <c r="I3" s="4" t="s">
        <v>18</v>
      </c>
      <c r="J3" s="4" t="s">
        <v>19</v>
      </c>
      <c r="K3" s="4" t="s">
        <v>20</v>
      </c>
    </row>
    <row r="4">
      <c r="A4" s="7">
        <v>8.0</v>
      </c>
      <c r="B4" s="8" t="s">
        <v>11</v>
      </c>
      <c r="C4" s="8" t="s">
        <v>12</v>
      </c>
      <c r="D4" s="8" t="s">
        <v>13</v>
      </c>
      <c r="E4" s="8" t="s">
        <v>29</v>
      </c>
      <c r="F4" s="9" t="s">
        <v>209</v>
      </c>
      <c r="G4" s="4" t="s">
        <v>16</v>
      </c>
      <c r="H4" s="4" t="s">
        <v>17</v>
      </c>
      <c r="I4" s="4" t="s">
        <v>18</v>
      </c>
      <c r="J4" s="4" t="s">
        <v>19</v>
      </c>
      <c r="K4" s="4" t="s">
        <v>20</v>
      </c>
    </row>
    <row r="5">
      <c r="A5" s="7">
        <v>13.0</v>
      </c>
      <c r="B5" s="8" t="s">
        <v>11</v>
      </c>
      <c r="C5" s="8" t="s">
        <v>12</v>
      </c>
      <c r="D5" s="8" t="s">
        <v>13</v>
      </c>
      <c r="E5" s="8" t="s">
        <v>34</v>
      </c>
      <c r="F5" s="9" t="s">
        <v>36</v>
      </c>
      <c r="G5" s="4" t="s">
        <v>16</v>
      </c>
      <c r="H5" s="4" t="s">
        <v>17</v>
      </c>
      <c r="I5" s="4" t="s">
        <v>18</v>
      </c>
      <c r="J5" s="4" t="s">
        <v>19</v>
      </c>
      <c r="K5" s="4" t="s">
        <v>20</v>
      </c>
    </row>
    <row r="6">
      <c r="A6" s="7">
        <v>15.0</v>
      </c>
      <c r="B6" s="8" t="s">
        <v>37</v>
      </c>
      <c r="C6" s="8" t="s">
        <v>38</v>
      </c>
      <c r="D6" s="8" t="s">
        <v>13</v>
      </c>
      <c r="E6" s="8" t="s">
        <v>39</v>
      </c>
      <c r="F6" s="9" t="s">
        <v>169</v>
      </c>
      <c r="G6" s="4" t="s">
        <v>41</v>
      </c>
      <c r="H6" s="4" t="s">
        <v>42</v>
      </c>
      <c r="I6" s="4" t="s">
        <v>26</v>
      </c>
      <c r="J6" s="4" t="s">
        <v>45</v>
      </c>
      <c r="K6" s="4" t="s">
        <v>27</v>
      </c>
    </row>
    <row r="7">
      <c r="A7" s="7">
        <v>17.0</v>
      </c>
      <c r="B7" s="8" t="s">
        <v>37</v>
      </c>
      <c r="C7" s="8" t="s">
        <v>38</v>
      </c>
      <c r="D7" s="8" t="s">
        <v>13</v>
      </c>
      <c r="E7" s="8" t="s">
        <v>14</v>
      </c>
      <c r="F7" s="9" t="s">
        <v>210</v>
      </c>
      <c r="G7" s="4" t="s">
        <v>16</v>
      </c>
      <c r="H7" s="4" t="s">
        <v>17</v>
      </c>
      <c r="I7" s="4" t="s">
        <v>18</v>
      </c>
      <c r="J7" s="4" t="s">
        <v>19</v>
      </c>
      <c r="K7" s="4" t="s">
        <v>20</v>
      </c>
    </row>
    <row r="8">
      <c r="A8" s="7">
        <v>21.0</v>
      </c>
      <c r="B8" s="8" t="s">
        <v>37</v>
      </c>
      <c r="C8" s="8" t="s">
        <v>38</v>
      </c>
      <c r="D8" s="8" t="s">
        <v>13</v>
      </c>
      <c r="E8" s="8" t="s">
        <v>24</v>
      </c>
      <c r="F8" s="9" t="s">
        <v>48</v>
      </c>
      <c r="G8" s="4" t="s">
        <v>16</v>
      </c>
      <c r="H8" s="4" t="s">
        <v>17</v>
      </c>
      <c r="I8" s="4" t="s">
        <v>18</v>
      </c>
      <c r="J8" s="4" t="s">
        <v>19</v>
      </c>
      <c r="K8" s="4" t="s">
        <v>20</v>
      </c>
    </row>
    <row r="9">
      <c r="A9" s="7">
        <v>23.0</v>
      </c>
      <c r="B9" s="8" t="s">
        <v>37</v>
      </c>
      <c r="C9" s="8" t="s">
        <v>38</v>
      </c>
      <c r="D9" s="8" t="s">
        <v>13</v>
      </c>
      <c r="E9" s="8" t="s">
        <v>29</v>
      </c>
      <c r="F9" s="9" t="s">
        <v>211</v>
      </c>
      <c r="G9" s="4" t="s">
        <v>16</v>
      </c>
      <c r="H9" s="4" t="s">
        <v>42</v>
      </c>
      <c r="I9" s="4" t="s">
        <v>18</v>
      </c>
      <c r="J9" s="4" t="s">
        <v>19</v>
      </c>
      <c r="K9" s="4" t="s">
        <v>20</v>
      </c>
      <c r="L9" s="4" t="s">
        <v>212</v>
      </c>
    </row>
    <row r="10">
      <c r="A10" s="7">
        <v>26.0</v>
      </c>
      <c r="B10" s="8" t="s">
        <v>37</v>
      </c>
      <c r="C10" s="8" t="s">
        <v>38</v>
      </c>
      <c r="D10" s="8" t="s">
        <v>13</v>
      </c>
      <c r="E10" s="8" t="s">
        <v>53</v>
      </c>
      <c r="F10" s="9" t="s">
        <v>54</v>
      </c>
      <c r="G10" s="4" t="s">
        <v>16</v>
      </c>
      <c r="H10" s="4" t="s">
        <v>17</v>
      </c>
      <c r="I10" s="4" t="s">
        <v>18</v>
      </c>
      <c r="J10" s="4" t="s">
        <v>19</v>
      </c>
      <c r="K10" s="4" t="s">
        <v>20</v>
      </c>
    </row>
    <row r="11">
      <c r="A11" s="7">
        <v>34.0</v>
      </c>
      <c r="B11" s="8" t="s">
        <v>37</v>
      </c>
      <c r="C11" s="8" t="s">
        <v>38</v>
      </c>
      <c r="D11" s="8" t="s">
        <v>13</v>
      </c>
      <c r="E11" s="8" t="s">
        <v>34</v>
      </c>
      <c r="F11" s="9" t="s">
        <v>213</v>
      </c>
      <c r="G11" s="4" t="s">
        <v>16</v>
      </c>
      <c r="H11" s="4" t="s">
        <v>17</v>
      </c>
      <c r="I11" s="4" t="s">
        <v>18</v>
      </c>
      <c r="J11" s="4" t="s">
        <v>19</v>
      </c>
      <c r="K11" s="4" t="s">
        <v>20</v>
      </c>
    </row>
    <row r="12">
      <c r="A12" s="7">
        <v>35.0</v>
      </c>
      <c r="B12" s="8" t="s">
        <v>37</v>
      </c>
      <c r="C12" s="8" t="s">
        <v>38</v>
      </c>
      <c r="D12" s="8" t="s">
        <v>13</v>
      </c>
      <c r="E12" s="8" t="s">
        <v>34</v>
      </c>
      <c r="F12" s="9" t="s">
        <v>172</v>
      </c>
      <c r="G12" s="4" t="s">
        <v>16</v>
      </c>
      <c r="H12" s="4" t="s">
        <v>17</v>
      </c>
      <c r="I12" s="4" t="s">
        <v>18</v>
      </c>
      <c r="J12" s="4" t="s">
        <v>19</v>
      </c>
      <c r="K12" s="4" t="s">
        <v>20</v>
      </c>
    </row>
    <row r="13">
      <c r="A13" s="7">
        <v>37.0</v>
      </c>
      <c r="B13" s="8" t="s">
        <v>65</v>
      </c>
      <c r="C13" s="8" t="s">
        <v>66</v>
      </c>
      <c r="D13" s="8" t="s">
        <v>67</v>
      </c>
      <c r="E13" s="8" t="s">
        <v>39</v>
      </c>
      <c r="F13" s="9" t="s">
        <v>68</v>
      </c>
      <c r="G13" s="4" t="s">
        <v>16</v>
      </c>
      <c r="H13" s="4" t="s">
        <v>42</v>
      </c>
      <c r="I13" s="4" t="s">
        <v>18</v>
      </c>
      <c r="J13" s="4" t="s">
        <v>19</v>
      </c>
      <c r="K13" s="4" t="s">
        <v>20</v>
      </c>
    </row>
    <row r="14">
      <c r="A14" s="7">
        <v>39.0</v>
      </c>
      <c r="B14" s="8" t="s">
        <v>65</v>
      </c>
      <c r="C14" s="8" t="s">
        <v>66</v>
      </c>
      <c r="D14" s="8" t="s">
        <v>67</v>
      </c>
      <c r="E14" s="8" t="s">
        <v>14</v>
      </c>
      <c r="F14" s="9" t="s">
        <v>214</v>
      </c>
      <c r="G14" s="4" t="s">
        <v>16</v>
      </c>
      <c r="H14" s="4" t="s">
        <v>17</v>
      </c>
      <c r="I14" s="4" t="s">
        <v>18</v>
      </c>
      <c r="J14" s="4" t="s">
        <v>19</v>
      </c>
      <c r="K14" s="4" t="s">
        <v>20</v>
      </c>
    </row>
    <row r="15">
      <c r="A15" s="7">
        <v>40.0</v>
      </c>
      <c r="B15" s="8" t="s">
        <v>65</v>
      </c>
      <c r="C15" s="8" t="s">
        <v>66</v>
      </c>
      <c r="D15" s="8" t="s">
        <v>67</v>
      </c>
      <c r="E15" s="8" t="s">
        <v>21</v>
      </c>
      <c r="F15" s="9" t="s">
        <v>215</v>
      </c>
      <c r="G15" s="4" t="s">
        <v>16</v>
      </c>
      <c r="H15" s="4" t="s">
        <v>17</v>
      </c>
      <c r="I15" s="4" t="s">
        <v>18</v>
      </c>
      <c r="J15" s="4" t="s">
        <v>19</v>
      </c>
      <c r="K15" s="4" t="s">
        <v>20</v>
      </c>
    </row>
    <row r="16">
      <c r="A16" s="7">
        <v>43.0</v>
      </c>
      <c r="B16" s="8" t="s">
        <v>65</v>
      </c>
      <c r="C16" s="8" t="s">
        <v>66</v>
      </c>
      <c r="D16" s="8" t="s">
        <v>67</v>
      </c>
      <c r="E16" s="8" t="s">
        <v>24</v>
      </c>
      <c r="F16" s="9" t="s">
        <v>71</v>
      </c>
      <c r="G16" s="4" t="s">
        <v>16</v>
      </c>
      <c r="H16" s="4" t="s">
        <v>17</v>
      </c>
      <c r="I16" s="4" t="s">
        <v>18</v>
      </c>
      <c r="J16" s="4" t="s">
        <v>19</v>
      </c>
      <c r="K16" s="4" t="s">
        <v>20</v>
      </c>
    </row>
    <row r="17">
      <c r="A17" s="7">
        <v>52.0</v>
      </c>
      <c r="B17" s="8" t="s">
        <v>65</v>
      </c>
      <c r="C17" s="8" t="s">
        <v>66</v>
      </c>
      <c r="D17" s="8" t="s">
        <v>67</v>
      </c>
      <c r="E17" s="8" t="s">
        <v>59</v>
      </c>
      <c r="F17" s="9" t="s">
        <v>79</v>
      </c>
      <c r="G17" s="4" t="s">
        <v>16</v>
      </c>
      <c r="H17" s="4" t="s">
        <v>17</v>
      </c>
      <c r="I17" s="4" t="s">
        <v>18</v>
      </c>
      <c r="J17" s="4" t="s">
        <v>19</v>
      </c>
      <c r="K17" s="4" t="s">
        <v>20</v>
      </c>
    </row>
    <row r="18">
      <c r="A18" s="7">
        <v>54.0</v>
      </c>
      <c r="B18" s="8" t="s">
        <v>65</v>
      </c>
      <c r="C18" s="8" t="s">
        <v>66</v>
      </c>
      <c r="D18" s="8" t="s">
        <v>67</v>
      </c>
      <c r="E18" s="8" t="s">
        <v>62</v>
      </c>
      <c r="F18" s="10" t="s">
        <v>178</v>
      </c>
      <c r="G18" s="4" t="s">
        <v>41</v>
      </c>
      <c r="H18" s="4" t="s">
        <v>17</v>
      </c>
      <c r="I18" s="4" t="s">
        <v>18</v>
      </c>
      <c r="J18" s="4" t="s">
        <v>19</v>
      </c>
      <c r="K18" s="4" t="s">
        <v>27</v>
      </c>
      <c r="L18" s="4" t="s">
        <v>216</v>
      </c>
    </row>
    <row r="19">
      <c r="A19" s="7">
        <v>58.0</v>
      </c>
      <c r="B19" s="8" t="s">
        <v>65</v>
      </c>
      <c r="C19" s="8" t="s">
        <v>66</v>
      </c>
      <c r="D19" s="8" t="s">
        <v>67</v>
      </c>
      <c r="E19" s="8" t="s">
        <v>114</v>
      </c>
      <c r="F19" s="9" t="s">
        <v>217</v>
      </c>
      <c r="G19" s="4" t="s">
        <v>16</v>
      </c>
      <c r="H19" s="4" t="s">
        <v>17</v>
      </c>
      <c r="I19" s="4" t="s">
        <v>18</v>
      </c>
      <c r="J19" s="4" t="s">
        <v>19</v>
      </c>
      <c r="K19" s="4" t="s">
        <v>20</v>
      </c>
    </row>
    <row r="20">
      <c r="A20" s="7">
        <v>59.0</v>
      </c>
      <c r="B20" s="8" t="s">
        <v>65</v>
      </c>
      <c r="C20" s="8" t="s">
        <v>66</v>
      </c>
      <c r="D20" s="8" t="s">
        <v>67</v>
      </c>
      <c r="E20" s="8" t="s">
        <v>114</v>
      </c>
      <c r="F20" s="9" t="s">
        <v>181</v>
      </c>
      <c r="G20" s="4" t="s">
        <v>16</v>
      </c>
      <c r="H20" s="4" t="s">
        <v>17</v>
      </c>
      <c r="I20" s="4" t="s">
        <v>18</v>
      </c>
      <c r="J20" s="4" t="s">
        <v>19</v>
      </c>
      <c r="K20" s="4" t="s">
        <v>20</v>
      </c>
    </row>
    <row r="21">
      <c r="A21" s="7">
        <v>60.0</v>
      </c>
      <c r="B21" s="8" t="s">
        <v>65</v>
      </c>
      <c r="C21" s="8" t="s">
        <v>66</v>
      </c>
      <c r="D21" s="8" t="s">
        <v>67</v>
      </c>
      <c r="E21" s="8" t="s">
        <v>117</v>
      </c>
      <c r="F21" s="9" t="s">
        <v>182</v>
      </c>
      <c r="G21" s="4" t="s">
        <v>16</v>
      </c>
      <c r="H21" s="4" t="s">
        <v>17</v>
      </c>
      <c r="I21" s="4" t="s">
        <v>18</v>
      </c>
      <c r="J21" s="4" t="s">
        <v>19</v>
      </c>
      <c r="K21" s="4" t="s">
        <v>20</v>
      </c>
    </row>
    <row r="22">
      <c r="A22" s="7">
        <v>61.0</v>
      </c>
      <c r="B22" s="8" t="s">
        <v>65</v>
      </c>
      <c r="C22" s="8" t="s">
        <v>66</v>
      </c>
      <c r="D22" s="8" t="s">
        <v>67</v>
      </c>
      <c r="E22" s="8" t="s">
        <v>117</v>
      </c>
      <c r="F22" s="9" t="s">
        <v>218</v>
      </c>
      <c r="G22" s="4" t="s">
        <v>16</v>
      </c>
      <c r="H22" s="4" t="s">
        <v>17</v>
      </c>
      <c r="I22" s="4" t="s">
        <v>18</v>
      </c>
      <c r="J22" s="4" t="s">
        <v>19</v>
      </c>
      <c r="K22" s="4" t="s">
        <v>20</v>
      </c>
    </row>
    <row r="23">
      <c r="A23" s="7">
        <v>63.0</v>
      </c>
      <c r="B23" s="8" t="s">
        <v>65</v>
      </c>
      <c r="C23" s="8" t="s">
        <v>66</v>
      </c>
      <c r="D23" s="8" t="s">
        <v>67</v>
      </c>
      <c r="E23" s="8" t="s">
        <v>82</v>
      </c>
      <c r="F23" s="9" t="s">
        <v>84</v>
      </c>
      <c r="G23" s="4" t="s">
        <v>16</v>
      </c>
      <c r="H23" s="4" t="s">
        <v>17</v>
      </c>
      <c r="I23" s="4" t="s">
        <v>18</v>
      </c>
      <c r="J23" s="4" t="s">
        <v>19</v>
      </c>
      <c r="K23" s="4" t="s">
        <v>20</v>
      </c>
    </row>
    <row r="24">
      <c r="A24" s="7">
        <v>64.0</v>
      </c>
      <c r="B24" s="8" t="s">
        <v>65</v>
      </c>
      <c r="C24" s="8" t="s">
        <v>66</v>
      </c>
      <c r="D24" s="8" t="s">
        <v>67</v>
      </c>
      <c r="E24" s="8" t="s">
        <v>85</v>
      </c>
      <c r="F24" s="9" t="s">
        <v>86</v>
      </c>
      <c r="G24" s="4" t="s">
        <v>16</v>
      </c>
      <c r="H24" s="4" t="s">
        <v>17</v>
      </c>
      <c r="I24" s="4" t="s">
        <v>18</v>
      </c>
      <c r="J24" s="4" t="s">
        <v>19</v>
      </c>
      <c r="K24" s="4" t="s">
        <v>20</v>
      </c>
    </row>
    <row r="25">
      <c r="A25" s="7">
        <v>72.0</v>
      </c>
      <c r="B25" s="8" t="s">
        <v>65</v>
      </c>
      <c r="C25" s="8" t="s">
        <v>66</v>
      </c>
      <c r="D25" s="8" t="s">
        <v>67</v>
      </c>
      <c r="E25" s="8" t="s">
        <v>34</v>
      </c>
      <c r="F25" s="9" t="s">
        <v>185</v>
      </c>
      <c r="G25" s="4" t="s">
        <v>16</v>
      </c>
      <c r="H25" s="4" t="s">
        <v>17</v>
      </c>
      <c r="I25" s="4" t="s">
        <v>18</v>
      </c>
      <c r="J25" s="4" t="s">
        <v>19</v>
      </c>
      <c r="K25" s="4" t="s">
        <v>20</v>
      </c>
    </row>
    <row r="26">
      <c r="A26" s="7">
        <v>76.0</v>
      </c>
      <c r="B26" s="8" t="s">
        <v>96</v>
      </c>
      <c r="C26" s="8" t="s">
        <v>97</v>
      </c>
      <c r="D26" s="8" t="s">
        <v>98</v>
      </c>
      <c r="E26" s="8" t="s">
        <v>14</v>
      </c>
      <c r="F26" s="9" t="s">
        <v>219</v>
      </c>
      <c r="G26" s="4" t="s">
        <v>41</v>
      </c>
      <c r="H26" s="4" t="s">
        <v>42</v>
      </c>
      <c r="I26" s="4" t="s">
        <v>18</v>
      </c>
      <c r="J26" s="4" t="s">
        <v>19</v>
      </c>
      <c r="K26" s="4" t="s">
        <v>27</v>
      </c>
    </row>
    <row r="27">
      <c r="A27" s="7">
        <v>79.0</v>
      </c>
      <c r="B27" s="8" t="s">
        <v>96</v>
      </c>
      <c r="C27" s="8" t="s">
        <v>97</v>
      </c>
      <c r="D27" s="8" t="s">
        <v>98</v>
      </c>
      <c r="E27" s="8" t="s">
        <v>21</v>
      </c>
      <c r="F27" s="9" t="s">
        <v>188</v>
      </c>
      <c r="G27" s="4" t="s">
        <v>16</v>
      </c>
      <c r="H27" s="4" t="s">
        <v>42</v>
      </c>
      <c r="I27" s="4" t="s">
        <v>18</v>
      </c>
      <c r="J27" s="4" t="s">
        <v>19</v>
      </c>
      <c r="K27" s="4" t="s">
        <v>27</v>
      </c>
    </row>
    <row r="28">
      <c r="A28" s="7">
        <v>80.0</v>
      </c>
      <c r="B28" s="8" t="s">
        <v>96</v>
      </c>
      <c r="C28" s="8" t="s">
        <v>97</v>
      </c>
      <c r="D28" s="8" t="s">
        <v>98</v>
      </c>
      <c r="E28" s="8" t="s">
        <v>24</v>
      </c>
      <c r="F28" s="9" t="s">
        <v>220</v>
      </c>
      <c r="G28" s="4" t="s">
        <v>16</v>
      </c>
      <c r="H28" s="4" t="s">
        <v>17</v>
      </c>
      <c r="I28" s="4" t="s">
        <v>26</v>
      </c>
      <c r="J28" s="4" t="s">
        <v>45</v>
      </c>
      <c r="K28" s="4" t="s">
        <v>27</v>
      </c>
    </row>
    <row r="29">
      <c r="A29" s="7">
        <v>88.0</v>
      </c>
      <c r="B29" s="8" t="s">
        <v>96</v>
      </c>
      <c r="C29" s="8" t="s">
        <v>97</v>
      </c>
      <c r="D29" s="8" t="s">
        <v>98</v>
      </c>
      <c r="E29" s="8" t="s">
        <v>56</v>
      </c>
      <c r="F29" s="9" t="s">
        <v>189</v>
      </c>
      <c r="G29" s="4" t="s">
        <v>16</v>
      </c>
      <c r="H29" s="4" t="s">
        <v>17</v>
      </c>
      <c r="I29" s="4" t="s">
        <v>18</v>
      </c>
      <c r="J29" s="4" t="s">
        <v>19</v>
      </c>
      <c r="K29" s="4" t="s">
        <v>20</v>
      </c>
    </row>
    <row r="30">
      <c r="A30" s="7">
        <v>89.0</v>
      </c>
      <c r="B30" s="8" t="s">
        <v>96</v>
      </c>
      <c r="C30" s="8" t="s">
        <v>97</v>
      </c>
      <c r="D30" s="8" t="s">
        <v>98</v>
      </c>
      <c r="E30" s="8" t="s">
        <v>56</v>
      </c>
      <c r="F30" s="9" t="s">
        <v>221</v>
      </c>
      <c r="G30" s="4" t="s">
        <v>16</v>
      </c>
      <c r="H30" s="4" t="s">
        <v>17</v>
      </c>
      <c r="I30" s="4" t="s">
        <v>18</v>
      </c>
      <c r="J30" s="4" t="s">
        <v>19</v>
      </c>
      <c r="K30" s="4" t="s">
        <v>20</v>
      </c>
    </row>
    <row r="31">
      <c r="A31" s="7">
        <v>92.0</v>
      </c>
      <c r="B31" s="8" t="s">
        <v>96</v>
      </c>
      <c r="C31" s="8" t="s">
        <v>97</v>
      </c>
      <c r="D31" s="8" t="s">
        <v>98</v>
      </c>
      <c r="E31" s="8" t="s">
        <v>62</v>
      </c>
      <c r="F31" s="9" t="s">
        <v>110</v>
      </c>
      <c r="G31" s="4" t="s">
        <v>16</v>
      </c>
      <c r="H31" s="4" t="s">
        <v>17</v>
      </c>
      <c r="I31" s="4" t="s">
        <v>18</v>
      </c>
      <c r="J31" s="4" t="s">
        <v>19</v>
      </c>
      <c r="K31" s="4" t="s">
        <v>20</v>
      </c>
    </row>
    <row r="32">
      <c r="A32" s="7">
        <v>93.0</v>
      </c>
      <c r="B32" s="8" t="s">
        <v>96</v>
      </c>
      <c r="C32" s="8" t="s">
        <v>97</v>
      </c>
      <c r="D32" s="8" t="s">
        <v>98</v>
      </c>
      <c r="E32" s="8" t="s">
        <v>62</v>
      </c>
      <c r="F32" s="9" t="s">
        <v>222</v>
      </c>
      <c r="G32" s="4" t="s">
        <v>16</v>
      </c>
      <c r="H32" s="4" t="s">
        <v>17</v>
      </c>
      <c r="I32" s="4" t="s">
        <v>18</v>
      </c>
      <c r="J32" s="4" t="s">
        <v>19</v>
      </c>
      <c r="K32" s="4" t="s">
        <v>20</v>
      </c>
    </row>
    <row r="33">
      <c r="A33" s="7">
        <v>95.0</v>
      </c>
      <c r="B33" s="8" t="s">
        <v>96</v>
      </c>
      <c r="C33" s="8" t="s">
        <v>97</v>
      </c>
      <c r="D33" s="8" t="s">
        <v>98</v>
      </c>
      <c r="E33" s="8" t="s">
        <v>111</v>
      </c>
      <c r="F33" s="9" t="s">
        <v>113</v>
      </c>
      <c r="G33" s="4" t="s">
        <v>16</v>
      </c>
      <c r="H33" s="4" t="s">
        <v>17</v>
      </c>
      <c r="I33" s="4" t="s">
        <v>18</v>
      </c>
      <c r="J33" s="4" t="s">
        <v>19</v>
      </c>
      <c r="K33" s="4" t="s">
        <v>20</v>
      </c>
    </row>
    <row r="34">
      <c r="A34" s="7">
        <v>100.0</v>
      </c>
      <c r="B34" s="8" t="s">
        <v>96</v>
      </c>
      <c r="C34" s="8" t="s">
        <v>97</v>
      </c>
      <c r="D34" s="8" t="s">
        <v>98</v>
      </c>
      <c r="E34" s="8" t="s">
        <v>82</v>
      </c>
      <c r="F34" s="9" t="s">
        <v>120</v>
      </c>
      <c r="G34" s="4" t="s">
        <v>16</v>
      </c>
      <c r="H34" s="4" t="s">
        <v>17</v>
      </c>
      <c r="I34" s="4" t="s">
        <v>26</v>
      </c>
      <c r="J34" s="4" t="s">
        <v>19</v>
      </c>
      <c r="K34" s="4" t="s">
        <v>20</v>
      </c>
    </row>
    <row r="35">
      <c r="A35" s="7">
        <v>104.0</v>
      </c>
      <c r="B35" s="8" t="s">
        <v>96</v>
      </c>
      <c r="C35" s="8" t="s">
        <v>97</v>
      </c>
      <c r="D35" s="8" t="s">
        <v>98</v>
      </c>
      <c r="E35" s="8" t="s">
        <v>34</v>
      </c>
      <c r="F35" s="9" t="s">
        <v>190</v>
      </c>
      <c r="G35" s="4" t="s">
        <v>16</v>
      </c>
      <c r="H35" s="4" t="s">
        <v>17</v>
      </c>
      <c r="I35" s="4" t="s">
        <v>18</v>
      </c>
      <c r="J35" s="4" t="s">
        <v>45</v>
      </c>
      <c r="K35" s="4" t="s">
        <v>20</v>
      </c>
    </row>
    <row r="36">
      <c r="A36" s="7">
        <v>106.0</v>
      </c>
      <c r="B36" s="8" t="s">
        <v>126</v>
      </c>
      <c r="C36" s="8" t="s">
        <v>127</v>
      </c>
      <c r="D36" s="8" t="s">
        <v>128</v>
      </c>
      <c r="E36" s="8" t="s">
        <v>39</v>
      </c>
      <c r="F36" s="9" t="s">
        <v>191</v>
      </c>
      <c r="G36" s="4" t="s">
        <v>16</v>
      </c>
      <c r="H36" s="4" t="s">
        <v>17</v>
      </c>
      <c r="I36" s="4" t="s">
        <v>18</v>
      </c>
      <c r="J36" s="4" t="s">
        <v>19</v>
      </c>
      <c r="K36" s="4" t="s">
        <v>20</v>
      </c>
    </row>
    <row r="37">
      <c r="A37" s="7">
        <v>108.0</v>
      </c>
      <c r="B37" s="8" t="s">
        <v>126</v>
      </c>
      <c r="C37" s="8" t="s">
        <v>127</v>
      </c>
      <c r="D37" s="8" t="s">
        <v>128</v>
      </c>
      <c r="E37" s="8" t="s">
        <v>14</v>
      </c>
      <c r="F37" s="9" t="s">
        <v>223</v>
      </c>
      <c r="G37" s="4" t="s">
        <v>16</v>
      </c>
      <c r="H37" s="4" t="s">
        <v>17</v>
      </c>
      <c r="I37" s="4" t="s">
        <v>18</v>
      </c>
      <c r="J37" s="4" t="s">
        <v>19</v>
      </c>
      <c r="K37" s="4" t="s">
        <v>20</v>
      </c>
    </row>
    <row r="38">
      <c r="A38" s="7">
        <v>109.0</v>
      </c>
      <c r="B38" s="8" t="s">
        <v>126</v>
      </c>
      <c r="C38" s="8" t="s">
        <v>127</v>
      </c>
      <c r="D38" s="8" t="s">
        <v>128</v>
      </c>
      <c r="E38" s="8" t="s">
        <v>14</v>
      </c>
      <c r="F38" s="9" t="s">
        <v>192</v>
      </c>
      <c r="G38" s="4" t="s">
        <v>16</v>
      </c>
      <c r="H38" s="4" t="s">
        <v>17</v>
      </c>
      <c r="I38" s="4" t="s">
        <v>18</v>
      </c>
      <c r="J38" s="4" t="s">
        <v>19</v>
      </c>
      <c r="K38" s="4" t="s">
        <v>20</v>
      </c>
    </row>
    <row r="39">
      <c r="A39" s="7">
        <v>112.0</v>
      </c>
      <c r="B39" s="8" t="s">
        <v>126</v>
      </c>
      <c r="C39" s="8" t="s">
        <v>127</v>
      </c>
      <c r="D39" s="8" t="s">
        <v>128</v>
      </c>
      <c r="E39" s="8" t="s">
        <v>24</v>
      </c>
      <c r="F39" s="9" t="s">
        <v>194</v>
      </c>
      <c r="G39" s="4" t="s">
        <v>16</v>
      </c>
      <c r="H39" s="4" t="s">
        <v>17</v>
      </c>
      <c r="I39" s="4" t="s">
        <v>18</v>
      </c>
      <c r="J39" s="4" t="s">
        <v>19</v>
      </c>
      <c r="K39" s="4" t="s">
        <v>20</v>
      </c>
    </row>
    <row r="40">
      <c r="A40" s="7">
        <v>113.0</v>
      </c>
      <c r="B40" s="8" t="s">
        <v>126</v>
      </c>
      <c r="C40" s="8" t="s">
        <v>127</v>
      </c>
      <c r="D40" s="8" t="s">
        <v>128</v>
      </c>
      <c r="E40" s="8" t="s">
        <v>24</v>
      </c>
      <c r="F40" s="9" t="s">
        <v>224</v>
      </c>
      <c r="G40" s="4" t="s">
        <v>16</v>
      </c>
      <c r="H40" s="4" t="s">
        <v>17</v>
      </c>
      <c r="I40" s="4" t="s">
        <v>18</v>
      </c>
      <c r="J40" s="4" t="s">
        <v>19</v>
      </c>
      <c r="K40" s="4" t="s">
        <v>20</v>
      </c>
    </row>
    <row r="41">
      <c r="A41" s="7">
        <v>115.0</v>
      </c>
      <c r="B41" s="8" t="s">
        <v>126</v>
      </c>
      <c r="C41" s="8" t="s">
        <v>127</v>
      </c>
      <c r="D41" s="8" t="s">
        <v>128</v>
      </c>
      <c r="E41" s="8" t="s">
        <v>29</v>
      </c>
      <c r="F41" s="9" t="s">
        <v>133</v>
      </c>
      <c r="G41" s="4" t="s">
        <v>16</v>
      </c>
      <c r="H41" s="4" t="s">
        <v>17</v>
      </c>
      <c r="I41" s="4" t="s">
        <v>18</v>
      </c>
      <c r="J41" s="4" t="s">
        <v>19</v>
      </c>
      <c r="K41" s="4" t="s">
        <v>27</v>
      </c>
    </row>
    <row r="42">
      <c r="A42" s="7">
        <v>129.0</v>
      </c>
      <c r="B42" s="8" t="s">
        <v>136</v>
      </c>
      <c r="C42" s="4" t="s">
        <v>137</v>
      </c>
      <c r="D42" s="8" t="s">
        <v>138</v>
      </c>
      <c r="E42" s="8" t="s">
        <v>31</v>
      </c>
      <c r="F42" s="9" t="s">
        <v>225</v>
      </c>
      <c r="G42" s="4" t="s">
        <v>41</v>
      </c>
      <c r="H42" s="4" t="s">
        <v>17</v>
      </c>
      <c r="I42" s="4" t="s">
        <v>26</v>
      </c>
      <c r="J42" s="4" t="s">
        <v>19</v>
      </c>
      <c r="K42" s="4" t="s">
        <v>27</v>
      </c>
      <c r="L42" s="4" t="s">
        <v>226</v>
      </c>
    </row>
    <row r="43">
      <c r="A43" s="7">
        <v>130.0</v>
      </c>
      <c r="B43" s="8" t="s">
        <v>136</v>
      </c>
      <c r="C43" s="4" t="s">
        <v>137</v>
      </c>
      <c r="D43" s="8" t="s">
        <v>138</v>
      </c>
      <c r="E43" s="8" t="s">
        <v>53</v>
      </c>
      <c r="F43" s="9" t="s">
        <v>227</v>
      </c>
      <c r="G43" s="4" t="s">
        <v>16</v>
      </c>
      <c r="H43" s="4" t="s">
        <v>17</v>
      </c>
      <c r="I43" s="4" t="s">
        <v>18</v>
      </c>
      <c r="J43" s="4" t="s">
        <v>19</v>
      </c>
      <c r="K43" s="4" t="s">
        <v>20</v>
      </c>
    </row>
    <row r="44">
      <c r="A44" s="7">
        <v>131.0</v>
      </c>
      <c r="B44" s="8" t="s">
        <v>136</v>
      </c>
      <c r="C44" s="4" t="s">
        <v>137</v>
      </c>
      <c r="D44" s="8" t="s">
        <v>138</v>
      </c>
      <c r="E44" s="8" t="s">
        <v>53</v>
      </c>
      <c r="F44" s="9" t="s">
        <v>228</v>
      </c>
      <c r="G44" s="4" t="s">
        <v>16</v>
      </c>
      <c r="H44" s="4" t="s">
        <v>17</v>
      </c>
      <c r="I44" s="4" t="s">
        <v>18</v>
      </c>
      <c r="J44" s="4" t="s">
        <v>19</v>
      </c>
      <c r="K44" s="4" t="s">
        <v>20</v>
      </c>
    </row>
    <row r="45">
      <c r="A45" s="7">
        <v>132.0</v>
      </c>
      <c r="B45" s="8" t="s">
        <v>136</v>
      </c>
      <c r="C45" s="4" t="s">
        <v>137</v>
      </c>
      <c r="D45" s="8" t="s">
        <v>138</v>
      </c>
      <c r="E45" s="8" t="s">
        <v>56</v>
      </c>
      <c r="F45" s="9" t="s">
        <v>229</v>
      </c>
      <c r="G45" s="4" t="s">
        <v>16</v>
      </c>
      <c r="H45" s="4" t="s">
        <v>42</v>
      </c>
      <c r="I45" s="4" t="s">
        <v>26</v>
      </c>
      <c r="J45" s="4" t="s">
        <v>19</v>
      </c>
      <c r="K45" s="4" t="s">
        <v>27</v>
      </c>
    </row>
    <row r="46">
      <c r="A46" s="7">
        <v>136.0</v>
      </c>
      <c r="B46" s="8" t="s">
        <v>136</v>
      </c>
      <c r="C46" s="4" t="s">
        <v>137</v>
      </c>
      <c r="D46" s="8" t="s">
        <v>138</v>
      </c>
      <c r="E46" s="8" t="s">
        <v>62</v>
      </c>
      <c r="F46" s="9" t="s">
        <v>146</v>
      </c>
      <c r="G46" s="4" t="s">
        <v>16</v>
      </c>
      <c r="H46" s="4" t="s">
        <v>17</v>
      </c>
      <c r="I46" s="4" t="s">
        <v>18</v>
      </c>
      <c r="J46" s="4" t="s">
        <v>19</v>
      </c>
      <c r="K46" s="4" t="s">
        <v>20</v>
      </c>
    </row>
    <row r="47">
      <c r="A47" s="7">
        <v>137.0</v>
      </c>
      <c r="B47" s="8" t="s">
        <v>136</v>
      </c>
      <c r="C47" s="4" t="s">
        <v>137</v>
      </c>
      <c r="D47" s="8" t="s">
        <v>138</v>
      </c>
      <c r="E47" s="8" t="s">
        <v>62</v>
      </c>
      <c r="F47" s="9" t="s">
        <v>147</v>
      </c>
      <c r="G47" s="4" t="s">
        <v>16</v>
      </c>
      <c r="H47" s="4" t="s">
        <v>17</v>
      </c>
      <c r="I47" s="4" t="s">
        <v>18</v>
      </c>
      <c r="J47" s="4" t="s">
        <v>19</v>
      </c>
      <c r="K47" s="4" t="s">
        <v>20</v>
      </c>
    </row>
    <row r="48">
      <c r="A48" s="7">
        <v>144.0</v>
      </c>
      <c r="B48" s="8" t="s">
        <v>136</v>
      </c>
      <c r="C48" s="4" t="s">
        <v>137</v>
      </c>
      <c r="D48" s="8" t="s">
        <v>138</v>
      </c>
      <c r="E48" s="8" t="s">
        <v>82</v>
      </c>
      <c r="F48" s="9" t="s">
        <v>204</v>
      </c>
      <c r="G48" s="4" t="s">
        <v>16</v>
      </c>
      <c r="H48" s="4" t="s">
        <v>17</v>
      </c>
      <c r="I48" s="4" t="s">
        <v>26</v>
      </c>
      <c r="J48" s="4" t="s">
        <v>19</v>
      </c>
      <c r="K48" s="4" t="s">
        <v>20</v>
      </c>
    </row>
    <row r="49">
      <c r="A49" s="7">
        <v>145.0</v>
      </c>
      <c r="B49" s="8" t="s">
        <v>136</v>
      </c>
      <c r="C49" s="4" t="s">
        <v>137</v>
      </c>
      <c r="D49" s="8" t="s">
        <v>138</v>
      </c>
      <c r="E49" s="8" t="s">
        <v>82</v>
      </c>
      <c r="F49" s="9" t="s">
        <v>230</v>
      </c>
      <c r="G49" s="4" t="s">
        <v>16</v>
      </c>
      <c r="H49" s="4" t="s">
        <v>42</v>
      </c>
      <c r="I49" s="4" t="s">
        <v>26</v>
      </c>
      <c r="J49" s="4" t="s">
        <v>19</v>
      </c>
      <c r="K49" s="4" t="s">
        <v>27</v>
      </c>
    </row>
    <row r="50">
      <c r="A50" s="7">
        <v>149.0</v>
      </c>
      <c r="B50" s="8" t="s">
        <v>155</v>
      </c>
      <c r="C50" s="8" t="s">
        <v>156</v>
      </c>
      <c r="D50" s="8" t="s">
        <v>157</v>
      </c>
      <c r="E50" s="8" t="s">
        <v>39</v>
      </c>
      <c r="F50" s="9" t="s">
        <v>231</v>
      </c>
      <c r="G50" s="4" t="s">
        <v>16</v>
      </c>
      <c r="H50" s="4" t="s">
        <v>42</v>
      </c>
      <c r="I50" s="4" t="s">
        <v>26</v>
      </c>
      <c r="J50" s="4" t="s">
        <v>19</v>
      </c>
      <c r="K50" s="4" t="s">
        <v>27</v>
      </c>
    </row>
    <row r="51">
      <c r="A51" s="7">
        <v>150.0</v>
      </c>
      <c r="B51" s="8" t="s">
        <v>155</v>
      </c>
      <c r="C51" s="8" t="s">
        <v>156</v>
      </c>
      <c r="D51" s="8" t="s">
        <v>157</v>
      </c>
      <c r="E51" s="8" t="s">
        <v>14</v>
      </c>
      <c r="F51" s="9" t="s">
        <v>232</v>
      </c>
      <c r="G51" s="4" t="s">
        <v>16</v>
      </c>
      <c r="H51" s="4" t="s">
        <v>42</v>
      </c>
      <c r="I51" s="4" t="s">
        <v>26</v>
      </c>
      <c r="J51" s="4" t="s">
        <v>19</v>
      </c>
      <c r="K51" s="4" t="s">
        <v>27</v>
      </c>
    </row>
    <row r="52">
      <c r="A52" s="7">
        <v>152.0</v>
      </c>
      <c r="B52" s="8" t="s">
        <v>155</v>
      </c>
      <c r="C52" s="8" t="s">
        <v>156</v>
      </c>
      <c r="D52" s="8" t="s">
        <v>157</v>
      </c>
      <c r="E52" s="8" t="s">
        <v>21</v>
      </c>
      <c r="F52" s="9" t="s">
        <v>206</v>
      </c>
      <c r="G52" s="4" t="s">
        <v>16</v>
      </c>
      <c r="H52" s="4" t="s">
        <v>42</v>
      </c>
      <c r="I52" s="4" t="s">
        <v>18</v>
      </c>
      <c r="J52" s="4" t="s">
        <v>19</v>
      </c>
      <c r="K52" s="4" t="s">
        <v>27</v>
      </c>
    </row>
    <row r="53">
      <c r="A53" s="7">
        <v>158.0</v>
      </c>
      <c r="B53" s="8" t="s">
        <v>155</v>
      </c>
      <c r="C53" s="8" t="s">
        <v>156</v>
      </c>
      <c r="D53" s="8" t="s">
        <v>157</v>
      </c>
      <c r="E53" s="8" t="s">
        <v>31</v>
      </c>
      <c r="F53" s="9" t="s">
        <v>233</v>
      </c>
      <c r="G53" s="4" t="s">
        <v>16</v>
      </c>
      <c r="H53" s="4" t="s">
        <v>42</v>
      </c>
      <c r="I53" s="4" t="s">
        <v>18</v>
      </c>
      <c r="J53" s="4" t="s">
        <v>19</v>
      </c>
      <c r="K53" s="4" t="s">
        <v>27</v>
      </c>
    </row>
    <row r="54">
      <c r="A54" s="7">
        <v>160.0</v>
      </c>
      <c r="B54" s="8" t="s">
        <v>155</v>
      </c>
      <c r="C54" s="8" t="s">
        <v>156</v>
      </c>
      <c r="D54" s="8" t="s">
        <v>157</v>
      </c>
      <c r="E54" s="8" t="s">
        <v>34</v>
      </c>
      <c r="F54" s="9" t="s">
        <v>207</v>
      </c>
      <c r="G54" s="4" t="s">
        <v>16</v>
      </c>
      <c r="H54" s="4" t="s">
        <v>42</v>
      </c>
      <c r="I54" s="4" t="s">
        <v>26</v>
      </c>
      <c r="J54" s="4" t="s">
        <v>19</v>
      </c>
      <c r="K54" s="4" t="s">
        <v>20</v>
      </c>
    </row>
    <row r="55">
      <c r="F55" s="9"/>
    </row>
    <row r="56">
      <c r="F56" s="9"/>
    </row>
    <row r="57">
      <c r="F57" s="9"/>
    </row>
    <row r="58">
      <c r="F58" s="9"/>
    </row>
    <row r="59">
      <c r="F59" s="9"/>
    </row>
    <row r="60">
      <c r="F60" s="9"/>
    </row>
    <row r="61">
      <c r="F61" s="9"/>
    </row>
    <row r="62">
      <c r="F62" s="9"/>
    </row>
    <row r="63">
      <c r="F63" s="9"/>
    </row>
    <row r="64">
      <c r="F64" s="9"/>
    </row>
    <row r="65">
      <c r="F65" s="9"/>
    </row>
    <row r="66">
      <c r="F66" s="9"/>
    </row>
    <row r="67">
      <c r="F67" s="9"/>
    </row>
    <row r="68">
      <c r="F68" s="9"/>
    </row>
    <row r="69">
      <c r="F69" s="9"/>
    </row>
    <row r="70">
      <c r="F70" s="9"/>
    </row>
    <row r="71">
      <c r="F71" s="9"/>
    </row>
    <row r="72">
      <c r="F72" s="9"/>
    </row>
    <row r="73">
      <c r="F73" s="9"/>
    </row>
    <row r="74">
      <c r="F74" s="9"/>
    </row>
    <row r="75">
      <c r="F75" s="9"/>
    </row>
    <row r="76">
      <c r="F76" s="9"/>
    </row>
    <row r="77">
      <c r="F77" s="9"/>
    </row>
    <row r="78">
      <c r="F78" s="9"/>
    </row>
    <row r="79">
      <c r="F79" s="9"/>
    </row>
    <row r="80">
      <c r="F80" s="9"/>
    </row>
    <row r="81">
      <c r="F81" s="9"/>
    </row>
    <row r="82">
      <c r="F82" s="9"/>
    </row>
    <row r="83">
      <c r="F83" s="9"/>
    </row>
    <row r="84">
      <c r="F84" s="9"/>
    </row>
    <row r="85">
      <c r="F85" s="9"/>
    </row>
    <row r="86">
      <c r="F86" s="9"/>
    </row>
    <row r="87">
      <c r="F87" s="9"/>
    </row>
    <row r="88">
      <c r="F88" s="9"/>
    </row>
    <row r="89">
      <c r="F89" s="9"/>
    </row>
    <row r="90">
      <c r="F90" s="9"/>
    </row>
    <row r="91">
      <c r="F91" s="9"/>
    </row>
    <row r="92">
      <c r="F92" s="9"/>
    </row>
    <row r="93">
      <c r="F93" s="9"/>
    </row>
    <row r="94">
      <c r="F94" s="9"/>
    </row>
    <row r="95">
      <c r="F95" s="9"/>
    </row>
    <row r="96">
      <c r="F96" s="9"/>
    </row>
    <row r="97">
      <c r="F97" s="9"/>
    </row>
    <row r="98">
      <c r="F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row r="988">
      <c r="F988" s="9"/>
    </row>
    <row r="989">
      <c r="F989" s="9"/>
    </row>
    <row r="990">
      <c r="F990" s="9"/>
    </row>
    <row r="991">
      <c r="F991" s="9"/>
    </row>
    <row r="992">
      <c r="F992" s="9"/>
    </row>
    <row r="993">
      <c r="F993" s="9"/>
    </row>
    <row r="994">
      <c r="F994" s="9"/>
    </row>
    <row r="995">
      <c r="F995" s="9"/>
    </row>
    <row r="996">
      <c r="F996" s="9"/>
    </row>
    <row r="997">
      <c r="F997" s="9"/>
    </row>
    <row r="998">
      <c r="F998" s="9"/>
    </row>
    <row r="999">
      <c r="F999" s="9"/>
    </row>
    <row r="1000">
      <c r="F1000" s="9"/>
    </row>
    <row r="1001">
      <c r="F1001" s="9"/>
    </row>
  </sheetData>
  <dataValidations>
    <dataValidation type="list" allowBlank="1" showErrorMessage="1" sqref="I2:I54">
      <formula1>"Not long term,Long term/historical"</formula1>
    </dataValidation>
    <dataValidation type="list" allowBlank="1" showErrorMessage="1" sqref="K2:K54">
      <formula1>"Keep,Discard"</formula1>
    </dataValidation>
    <dataValidation type="list" allowBlank="1" showErrorMessage="1" sqref="H2:H54">
      <formula1>"Not too political,Too political"</formula1>
    </dataValidation>
    <dataValidation type="list" allowBlank="1" showErrorMessage="1" sqref="G2:G54">
      <formula1>"Relevant,Not relevant"</formula1>
    </dataValidation>
    <dataValidation type="list" allowBlank="1" showErrorMessage="1" sqref="J2:J54">
      <formula1>"Good,Too general/too specific"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57"/>
    <col customWidth="1" min="3" max="3" width="20.86"/>
    <col customWidth="1" min="4" max="5" width="8.71"/>
    <col customWidth="1" min="6" max="6" width="215.14"/>
    <col customWidth="1" min="7" max="7" width="9.71"/>
    <col customWidth="1" min="8" max="8" width="7.71"/>
    <col customWidth="1" min="9" max="9" width="9.86"/>
    <col customWidth="1" min="10" max="25" width="8.71"/>
  </cols>
  <sheetData>
    <row r="1" ht="15.75" customHeight="1">
      <c r="A1" s="1" t="s">
        <v>0</v>
      </c>
      <c r="B1" s="2" t="s">
        <v>1</v>
      </c>
      <c r="C1" s="2" t="s">
        <v>2</v>
      </c>
      <c r="D1" s="2" t="s">
        <v>3</v>
      </c>
      <c r="E1" s="2" t="s">
        <v>4</v>
      </c>
      <c r="F1" s="2" t="s">
        <v>5</v>
      </c>
      <c r="G1" s="4" t="s">
        <v>6</v>
      </c>
      <c r="H1" s="4" t="s">
        <v>7</v>
      </c>
      <c r="I1" s="4" t="s">
        <v>8</v>
      </c>
      <c r="J1" s="4" t="s">
        <v>9</v>
      </c>
      <c r="K1" s="4" t="s">
        <v>10</v>
      </c>
      <c r="L1" s="4" t="s">
        <v>234</v>
      </c>
      <c r="M1" s="4" t="s">
        <v>235</v>
      </c>
      <c r="N1" s="4" t="s">
        <v>236</v>
      </c>
      <c r="P1" s="4" t="s">
        <v>237</v>
      </c>
    </row>
    <row r="2">
      <c r="A2" s="2">
        <v>15.0</v>
      </c>
      <c r="B2" s="5" t="s">
        <v>37</v>
      </c>
      <c r="C2" s="5" t="s">
        <v>38</v>
      </c>
      <c r="D2" s="5" t="s">
        <v>13</v>
      </c>
      <c r="E2" s="5" t="s">
        <v>39</v>
      </c>
      <c r="F2" s="5" t="s">
        <v>169</v>
      </c>
      <c r="G2" s="8"/>
      <c r="H2" s="8"/>
      <c r="I2" s="8"/>
      <c r="J2" s="8"/>
      <c r="K2" s="8"/>
      <c r="M2" s="4" t="s">
        <v>238</v>
      </c>
      <c r="N2" s="4" t="s">
        <v>238</v>
      </c>
      <c r="P2" s="8">
        <f t="shared" ref="P2:P163" si="1">Rand()</f>
        <v>0.6461887915</v>
      </c>
    </row>
    <row r="3">
      <c r="A3" s="7">
        <v>35.0</v>
      </c>
      <c r="B3" s="8" t="s">
        <v>37</v>
      </c>
      <c r="C3" s="8" t="s">
        <v>38</v>
      </c>
      <c r="D3" s="8" t="s">
        <v>13</v>
      </c>
      <c r="E3" s="8" t="s">
        <v>34</v>
      </c>
      <c r="F3" s="8" t="s">
        <v>172</v>
      </c>
      <c r="G3" s="8"/>
      <c r="H3" s="8"/>
      <c r="I3" s="8"/>
      <c r="J3" s="8"/>
      <c r="K3" s="8"/>
      <c r="M3" s="4" t="s">
        <v>238</v>
      </c>
      <c r="N3" s="4" t="s">
        <v>238</v>
      </c>
      <c r="P3" s="8">
        <f t="shared" si="1"/>
        <v>0.505907003</v>
      </c>
    </row>
    <row r="4">
      <c r="A4" s="7">
        <v>54.0</v>
      </c>
      <c r="B4" s="8" t="s">
        <v>65</v>
      </c>
      <c r="C4" s="8" t="s">
        <v>66</v>
      </c>
      <c r="D4" s="8" t="s">
        <v>67</v>
      </c>
      <c r="E4" s="8" t="s">
        <v>62</v>
      </c>
      <c r="F4" s="4" t="s">
        <v>178</v>
      </c>
      <c r="G4" s="8"/>
      <c r="H4" s="8"/>
      <c r="I4" s="8"/>
      <c r="J4" s="8"/>
      <c r="K4" s="8"/>
      <c r="M4" s="4" t="s">
        <v>238</v>
      </c>
      <c r="N4" s="4" t="s">
        <v>238</v>
      </c>
      <c r="P4" s="8">
        <f t="shared" si="1"/>
        <v>0.8057802262</v>
      </c>
    </row>
    <row r="5">
      <c r="A5" s="7">
        <v>59.0</v>
      </c>
      <c r="B5" s="8" t="s">
        <v>65</v>
      </c>
      <c r="C5" s="8" t="s">
        <v>66</v>
      </c>
      <c r="D5" s="8" t="s">
        <v>67</v>
      </c>
      <c r="E5" s="8" t="s">
        <v>114</v>
      </c>
      <c r="F5" s="8" t="s">
        <v>181</v>
      </c>
      <c r="G5" s="8"/>
      <c r="H5" s="8"/>
      <c r="I5" s="8"/>
      <c r="J5" s="8"/>
      <c r="K5" s="8"/>
      <c r="M5" s="4" t="s">
        <v>238</v>
      </c>
      <c r="N5" s="4" t="s">
        <v>238</v>
      </c>
      <c r="P5" s="8">
        <f t="shared" si="1"/>
        <v>0.7045100309</v>
      </c>
    </row>
    <row r="6">
      <c r="A6" s="7">
        <v>60.0</v>
      </c>
      <c r="B6" s="8" t="s">
        <v>65</v>
      </c>
      <c r="C6" s="8" t="s">
        <v>66</v>
      </c>
      <c r="D6" s="8" t="s">
        <v>67</v>
      </c>
      <c r="E6" s="8" t="s">
        <v>117</v>
      </c>
      <c r="F6" s="8" t="s">
        <v>182</v>
      </c>
      <c r="G6" s="8"/>
      <c r="H6" s="8"/>
      <c r="I6" s="8"/>
      <c r="J6" s="8"/>
      <c r="K6" s="8"/>
      <c r="M6" s="4" t="s">
        <v>238</v>
      </c>
      <c r="N6" s="4" t="s">
        <v>238</v>
      </c>
      <c r="P6" s="8">
        <f t="shared" si="1"/>
        <v>0.3481838732</v>
      </c>
    </row>
    <row r="7">
      <c r="A7" s="7">
        <v>72.0</v>
      </c>
      <c r="B7" s="8" t="s">
        <v>65</v>
      </c>
      <c r="C7" s="8" t="s">
        <v>66</v>
      </c>
      <c r="D7" s="8" t="s">
        <v>67</v>
      </c>
      <c r="E7" s="8" t="s">
        <v>34</v>
      </c>
      <c r="F7" s="8" t="s">
        <v>185</v>
      </c>
      <c r="G7" s="8"/>
      <c r="H7" s="8"/>
      <c r="I7" s="8"/>
      <c r="J7" s="8"/>
      <c r="K7" s="8"/>
      <c r="M7" s="4" t="s">
        <v>238</v>
      </c>
      <c r="N7" s="4" t="s">
        <v>238</v>
      </c>
      <c r="P7" s="8">
        <f t="shared" si="1"/>
        <v>0.04731752381</v>
      </c>
    </row>
    <row r="8">
      <c r="A8" s="7">
        <v>79.0</v>
      </c>
      <c r="B8" s="8" t="s">
        <v>96</v>
      </c>
      <c r="C8" s="8" t="s">
        <v>97</v>
      </c>
      <c r="D8" s="8" t="s">
        <v>98</v>
      </c>
      <c r="E8" s="8" t="s">
        <v>21</v>
      </c>
      <c r="F8" s="8" t="s">
        <v>188</v>
      </c>
      <c r="G8" s="8"/>
      <c r="H8" s="8"/>
      <c r="I8" s="8"/>
      <c r="J8" s="8"/>
      <c r="K8" s="8"/>
      <c r="M8" s="4" t="s">
        <v>238</v>
      </c>
      <c r="N8" s="4" t="s">
        <v>238</v>
      </c>
      <c r="P8" s="8">
        <f t="shared" si="1"/>
        <v>0.9038108212</v>
      </c>
    </row>
    <row r="9">
      <c r="A9" s="7">
        <v>88.0</v>
      </c>
      <c r="B9" s="8" t="s">
        <v>96</v>
      </c>
      <c r="C9" s="8" t="s">
        <v>97</v>
      </c>
      <c r="D9" s="8" t="s">
        <v>98</v>
      </c>
      <c r="E9" s="8" t="s">
        <v>56</v>
      </c>
      <c r="F9" s="8" t="s">
        <v>189</v>
      </c>
      <c r="G9" s="8"/>
      <c r="H9" s="8"/>
      <c r="I9" s="8"/>
      <c r="J9" s="8"/>
      <c r="K9" s="8"/>
      <c r="M9" s="4" t="s">
        <v>238</v>
      </c>
      <c r="N9" s="4" t="s">
        <v>238</v>
      </c>
      <c r="P9" s="8">
        <f t="shared" si="1"/>
        <v>0.7217395269</v>
      </c>
    </row>
    <row r="10">
      <c r="A10" s="7">
        <v>104.0</v>
      </c>
      <c r="B10" s="8" t="s">
        <v>96</v>
      </c>
      <c r="C10" s="8" t="s">
        <v>97</v>
      </c>
      <c r="D10" s="8" t="s">
        <v>98</v>
      </c>
      <c r="E10" s="8" t="s">
        <v>34</v>
      </c>
      <c r="F10" s="8" t="s">
        <v>190</v>
      </c>
      <c r="G10" s="8"/>
      <c r="H10" s="8"/>
      <c r="I10" s="8"/>
      <c r="J10" s="8"/>
      <c r="K10" s="8"/>
      <c r="M10" s="4" t="s">
        <v>238</v>
      </c>
      <c r="N10" s="4" t="s">
        <v>238</v>
      </c>
      <c r="P10" s="8">
        <f t="shared" si="1"/>
        <v>0.8468850683</v>
      </c>
    </row>
    <row r="11">
      <c r="A11" s="7">
        <v>106.0</v>
      </c>
      <c r="B11" s="8" t="s">
        <v>126</v>
      </c>
      <c r="C11" s="8" t="s">
        <v>127</v>
      </c>
      <c r="D11" s="8" t="s">
        <v>128</v>
      </c>
      <c r="E11" s="8" t="s">
        <v>39</v>
      </c>
      <c r="F11" s="8" t="s">
        <v>191</v>
      </c>
      <c r="G11" s="8"/>
      <c r="H11" s="8"/>
      <c r="I11" s="8"/>
      <c r="J11" s="8"/>
      <c r="K11" s="8"/>
      <c r="M11" s="4" t="s">
        <v>238</v>
      </c>
      <c r="N11" s="4" t="s">
        <v>238</v>
      </c>
      <c r="P11" s="8">
        <f t="shared" si="1"/>
        <v>0.8096658865</v>
      </c>
    </row>
    <row r="12">
      <c r="A12" s="7">
        <v>109.0</v>
      </c>
      <c r="B12" s="8" t="s">
        <v>126</v>
      </c>
      <c r="C12" s="8" t="s">
        <v>127</v>
      </c>
      <c r="D12" s="8" t="s">
        <v>128</v>
      </c>
      <c r="E12" s="8" t="s">
        <v>14</v>
      </c>
      <c r="F12" s="8" t="s">
        <v>192</v>
      </c>
      <c r="G12" s="8"/>
      <c r="H12" s="8"/>
      <c r="I12" s="8"/>
      <c r="J12" s="8"/>
      <c r="K12" s="8"/>
      <c r="M12" s="4" t="s">
        <v>238</v>
      </c>
      <c r="N12" s="4" t="s">
        <v>238</v>
      </c>
      <c r="P12" s="8">
        <f t="shared" si="1"/>
        <v>0.07692272664</v>
      </c>
    </row>
    <row r="13">
      <c r="A13" s="7">
        <v>112.0</v>
      </c>
      <c r="B13" s="8" t="s">
        <v>126</v>
      </c>
      <c r="C13" s="8" t="s">
        <v>127</v>
      </c>
      <c r="D13" s="8" t="s">
        <v>128</v>
      </c>
      <c r="E13" s="8" t="s">
        <v>24</v>
      </c>
      <c r="F13" s="8" t="s">
        <v>194</v>
      </c>
      <c r="G13" s="8"/>
      <c r="H13" s="8"/>
      <c r="I13" s="8"/>
      <c r="J13" s="8"/>
      <c r="K13" s="8"/>
      <c r="M13" s="4" t="s">
        <v>238</v>
      </c>
      <c r="N13" s="4" t="s">
        <v>238</v>
      </c>
      <c r="P13" s="8">
        <f t="shared" si="1"/>
        <v>0.1368957264</v>
      </c>
    </row>
    <row r="14">
      <c r="A14" s="7">
        <v>144.0</v>
      </c>
      <c r="B14" s="8" t="s">
        <v>136</v>
      </c>
      <c r="C14" s="4" t="s">
        <v>137</v>
      </c>
      <c r="D14" s="8" t="s">
        <v>138</v>
      </c>
      <c r="E14" s="8" t="s">
        <v>82</v>
      </c>
      <c r="F14" s="8" t="s">
        <v>204</v>
      </c>
      <c r="G14" s="8"/>
      <c r="H14" s="8"/>
      <c r="I14" s="8"/>
      <c r="J14" s="8"/>
      <c r="K14" s="8"/>
      <c r="M14" s="4" t="s">
        <v>238</v>
      </c>
      <c r="N14" s="4" t="s">
        <v>238</v>
      </c>
      <c r="P14" s="8">
        <f t="shared" si="1"/>
        <v>0.004006878918</v>
      </c>
    </row>
    <row r="15">
      <c r="A15" s="7">
        <v>152.0</v>
      </c>
      <c r="B15" s="8" t="s">
        <v>155</v>
      </c>
      <c r="C15" s="8" t="s">
        <v>156</v>
      </c>
      <c r="D15" s="8" t="s">
        <v>157</v>
      </c>
      <c r="E15" s="8" t="s">
        <v>21</v>
      </c>
      <c r="F15" s="8" t="s">
        <v>206</v>
      </c>
      <c r="G15" s="8"/>
      <c r="H15" s="8"/>
      <c r="I15" s="8"/>
      <c r="J15" s="8"/>
      <c r="K15" s="8"/>
      <c r="M15" s="4" t="s">
        <v>238</v>
      </c>
      <c r="N15" s="4" t="s">
        <v>238</v>
      </c>
      <c r="P15" s="8">
        <f t="shared" si="1"/>
        <v>0.4279466813</v>
      </c>
    </row>
    <row r="16">
      <c r="A16" s="7">
        <v>160.0</v>
      </c>
      <c r="B16" s="8" t="s">
        <v>155</v>
      </c>
      <c r="C16" s="8" t="s">
        <v>156</v>
      </c>
      <c r="D16" s="8" t="s">
        <v>157</v>
      </c>
      <c r="E16" s="8" t="s">
        <v>34</v>
      </c>
      <c r="F16" s="8" t="s">
        <v>207</v>
      </c>
      <c r="G16" s="8"/>
      <c r="H16" s="8"/>
      <c r="I16" s="8"/>
      <c r="J16" s="8"/>
      <c r="K16" s="8"/>
      <c r="M16" s="4" t="s">
        <v>238</v>
      </c>
      <c r="N16" s="4" t="s">
        <v>238</v>
      </c>
      <c r="P16" s="8">
        <f t="shared" si="1"/>
        <v>0.8364044727</v>
      </c>
    </row>
    <row r="17">
      <c r="A17" s="7">
        <v>4.0</v>
      </c>
      <c r="B17" s="8" t="s">
        <v>11</v>
      </c>
      <c r="C17" s="8" t="s">
        <v>12</v>
      </c>
      <c r="D17" s="8" t="s">
        <v>13</v>
      </c>
      <c r="E17" s="8" t="s">
        <v>21</v>
      </c>
      <c r="F17" s="8" t="s">
        <v>22</v>
      </c>
      <c r="G17" s="8"/>
      <c r="H17" s="8"/>
      <c r="I17" s="8"/>
      <c r="J17" s="8"/>
      <c r="K17" s="8"/>
      <c r="L17" s="4" t="s">
        <v>238</v>
      </c>
      <c r="N17" s="4" t="s">
        <v>238</v>
      </c>
      <c r="P17" s="8">
        <f t="shared" si="1"/>
        <v>0.202736083</v>
      </c>
    </row>
    <row r="18">
      <c r="A18" s="7">
        <v>13.0</v>
      </c>
      <c r="B18" s="8" t="s">
        <v>11</v>
      </c>
      <c r="C18" s="8" t="s">
        <v>12</v>
      </c>
      <c r="D18" s="8" t="s">
        <v>13</v>
      </c>
      <c r="E18" s="8" t="s">
        <v>34</v>
      </c>
      <c r="F18" s="8" t="s">
        <v>36</v>
      </c>
      <c r="G18" s="8"/>
      <c r="H18" s="8"/>
      <c r="I18" s="8"/>
      <c r="J18" s="8"/>
      <c r="K18" s="8"/>
      <c r="L18" s="4" t="s">
        <v>238</v>
      </c>
      <c r="N18" s="4" t="s">
        <v>238</v>
      </c>
      <c r="P18" s="8">
        <f t="shared" si="1"/>
        <v>0.07889140021</v>
      </c>
    </row>
    <row r="19">
      <c r="A19" s="7">
        <v>21.0</v>
      </c>
      <c r="B19" s="8" t="s">
        <v>37</v>
      </c>
      <c r="C19" s="8" t="s">
        <v>38</v>
      </c>
      <c r="D19" s="8" t="s">
        <v>13</v>
      </c>
      <c r="E19" s="8" t="s">
        <v>24</v>
      </c>
      <c r="F19" s="8" t="s">
        <v>48</v>
      </c>
      <c r="G19" s="8"/>
      <c r="H19" s="8"/>
      <c r="I19" s="8"/>
      <c r="J19" s="8"/>
      <c r="K19" s="8"/>
      <c r="L19" s="4" t="s">
        <v>238</v>
      </c>
      <c r="N19" s="4" t="s">
        <v>238</v>
      </c>
      <c r="P19" s="8">
        <f t="shared" si="1"/>
        <v>0.7229235697</v>
      </c>
    </row>
    <row r="20">
      <c r="A20" s="7">
        <v>26.0</v>
      </c>
      <c r="B20" s="8" t="s">
        <v>37</v>
      </c>
      <c r="C20" s="8" t="s">
        <v>38</v>
      </c>
      <c r="D20" s="8" t="s">
        <v>13</v>
      </c>
      <c r="E20" s="8" t="s">
        <v>53</v>
      </c>
      <c r="F20" s="8" t="s">
        <v>54</v>
      </c>
      <c r="G20" s="8"/>
      <c r="H20" s="8"/>
      <c r="I20" s="8"/>
      <c r="J20" s="8"/>
      <c r="K20" s="8"/>
      <c r="L20" s="4" t="s">
        <v>238</v>
      </c>
      <c r="N20" s="4" t="s">
        <v>238</v>
      </c>
      <c r="P20" s="8">
        <f t="shared" si="1"/>
        <v>0.4216988932</v>
      </c>
    </row>
    <row r="21">
      <c r="A21" s="7">
        <v>37.0</v>
      </c>
      <c r="B21" s="8" t="s">
        <v>65</v>
      </c>
      <c r="C21" s="8" t="s">
        <v>66</v>
      </c>
      <c r="D21" s="8" t="s">
        <v>67</v>
      </c>
      <c r="E21" s="8" t="s">
        <v>39</v>
      </c>
      <c r="F21" s="8" t="s">
        <v>68</v>
      </c>
      <c r="G21" s="8"/>
      <c r="H21" s="8"/>
      <c r="I21" s="8"/>
      <c r="J21" s="8"/>
      <c r="K21" s="8"/>
      <c r="L21" s="4" t="s">
        <v>238</v>
      </c>
      <c r="N21" s="4" t="s">
        <v>238</v>
      </c>
      <c r="P21" s="8">
        <f t="shared" si="1"/>
        <v>0.81013329</v>
      </c>
    </row>
    <row r="22" ht="15.75" customHeight="1">
      <c r="A22" s="7">
        <v>43.0</v>
      </c>
      <c r="B22" s="8" t="s">
        <v>65</v>
      </c>
      <c r="C22" s="8" t="s">
        <v>66</v>
      </c>
      <c r="D22" s="8" t="s">
        <v>67</v>
      </c>
      <c r="E22" s="8" t="s">
        <v>24</v>
      </c>
      <c r="F22" s="8" t="s">
        <v>71</v>
      </c>
      <c r="G22" s="8"/>
      <c r="H22" s="8"/>
      <c r="I22" s="8"/>
      <c r="J22" s="8"/>
      <c r="K22" s="8"/>
      <c r="L22" s="4" t="s">
        <v>238</v>
      </c>
      <c r="N22" s="4" t="s">
        <v>238</v>
      </c>
      <c r="P22" s="8">
        <f t="shared" si="1"/>
        <v>0.1190536958</v>
      </c>
    </row>
    <row r="23" ht="15.75" customHeight="1">
      <c r="A23" s="7">
        <v>52.0</v>
      </c>
      <c r="B23" s="8" t="s">
        <v>65</v>
      </c>
      <c r="C23" s="8" t="s">
        <v>66</v>
      </c>
      <c r="D23" s="8" t="s">
        <v>67</v>
      </c>
      <c r="E23" s="8" t="s">
        <v>59</v>
      </c>
      <c r="F23" s="8" t="s">
        <v>79</v>
      </c>
      <c r="G23" s="8"/>
      <c r="H23" s="8"/>
      <c r="I23" s="8"/>
      <c r="J23" s="8"/>
      <c r="K23" s="8"/>
      <c r="L23" s="4" t="s">
        <v>238</v>
      </c>
      <c r="N23" s="4" t="s">
        <v>238</v>
      </c>
      <c r="P23" s="8">
        <f t="shared" si="1"/>
        <v>0.2216247498</v>
      </c>
    </row>
    <row r="24" ht="15.75" customHeight="1">
      <c r="A24" s="7">
        <v>63.0</v>
      </c>
      <c r="B24" s="8" t="s">
        <v>65</v>
      </c>
      <c r="C24" s="8" t="s">
        <v>66</v>
      </c>
      <c r="D24" s="8" t="s">
        <v>67</v>
      </c>
      <c r="E24" s="8" t="s">
        <v>82</v>
      </c>
      <c r="F24" s="8" t="s">
        <v>84</v>
      </c>
      <c r="G24" s="8"/>
      <c r="H24" s="8"/>
      <c r="I24" s="8"/>
      <c r="J24" s="8"/>
      <c r="K24" s="8"/>
      <c r="L24" s="4" t="s">
        <v>238</v>
      </c>
      <c r="N24" s="4" t="s">
        <v>238</v>
      </c>
      <c r="P24" s="8">
        <f t="shared" si="1"/>
        <v>0.2757785436</v>
      </c>
    </row>
    <row r="25" ht="15.75" customHeight="1">
      <c r="A25" s="7">
        <v>64.0</v>
      </c>
      <c r="B25" s="8" t="s">
        <v>65</v>
      </c>
      <c r="C25" s="8" t="s">
        <v>66</v>
      </c>
      <c r="D25" s="8" t="s">
        <v>67</v>
      </c>
      <c r="E25" s="8" t="s">
        <v>85</v>
      </c>
      <c r="F25" s="8" t="s">
        <v>86</v>
      </c>
      <c r="G25" s="8"/>
      <c r="H25" s="8"/>
      <c r="I25" s="8"/>
      <c r="J25" s="8"/>
      <c r="K25" s="8"/>
      <c r="L25" s="4" t="s">
        <v>238</v>
      </c>
      <c r="N25" s="4" t="s">
        <v>238</v>
      </c>
      <c r="P25" s="8">
        <f t="shared" si="1"/>
        <v>0.6728930043</v>
      </c>
    </row>
    <row r="26" ht="15.75" customHeight="1">
      <c r="A26" s="7">
        <v>92.0</v>
      </c>
      <c r="B26" s="8" t="s">
        <v>96</v>
      </c>
      <c r="C26" s="8" t="s">
        <v>97</v>
      </c>
      <c r="D26" s="8" t="s">
        <v>98</v>
      </c>
      <c r="E26" s="8" t="s">
        <v>62</v>
      </c>
      <c r="F26" s="8" t="s">
        <v>110</v>
      </c>
      <c r="G26" s="8"/>
      <c r="H26" s="8"/>
      <c r="I26" s="8"/>
      <c r="J26" s="8"/>
      <c r="K26" s="8"/>
      <c r="L26" s="4" t="s">
        <v>238</v>
      </c>
      <c r="N26" s="4" t="s">
        <v>238</v>
      </c>
      <c r="P26" s="8">
        <f t="shared" si="1"/>
        <v>0.1353077951</v>
      </c>
    </row>
    <row r="27" ht="15.75" customHeight="1">
      <c r="A27" s="7">
        <v>95.0</v>
      </c>
      <c r="B27" s="8" t="s">
        <v>96</v>
      </c>
      <c r="C27" s="8" t="s">
        <v>97</v>
      </c>
      <c r="D27" s="8" t="s">
        <v>98</v>
      </c>
      <c r="E27" s="8" t="s">
        <v>111</v>
      </c>
      <c r="F27" s="8" t="s">
        <v>113</v>
      </c>
      <c r="G27" s="8"/>
      <c r="H27" s="8"/>
      <c r="I27" s="8"/>
      <c r="J27" s="8"/>
      <c r="K27" s="8"/>
      <c r="L27" s="4" t="s">
        <v>238</v>
      </c>
      <c r="N27" s="4" t="s">
        <v>238</v>
      </c>
      <c r="P27" s="8">
        <f t="shared" si="1"/>
        <v>0.4016794047</v>
      </c>
    </row>
    <row r="28" ht="15.75" customHeight="1">
      <c r="A28" s="7">
        <v>100.0</v>
      </c>
      <c r="B28" s="8" t="s">
        <v>96</v>
      </c>
      <c r="C28" s="8" t="s">
        <v>97</v>
      </c>
      <c r="D28" s="8" t="s">
        <v>98</v>
      </c>
      <c r="E28" s="8" t="s">
        <v>82</v>
      </c>
      <c r="F28" s="8" t="s">
        <v>120</v>
      </c>
      <c r="G28" s="8"/>
      <c r="H28" s="8"/>
      <c r="I28" s="8"/>
      <c r="J28" s="8"/>
      <c r="K28" s="8"/>
      <c r="L28" s="4" t="s">
        <v>238</v>
      </c>
      <c r="N28" s="4" t="s">
        <v>238</v>
      </c>
      <c r="P28" s="8">
        <f t="shared" si="1"/>
        <v>0.8023280358</v>
      </c>
    </row>
    <row r="29" ht="15.75" customHeight="1">
      <c r="A29" s="7">
        <v>115.0</v>
      </c>
      <c r="B29" s="8" t="s">
        <v>126</v>
      </c>
      <c r="C29" s="8" t="s">
        <v>127</v>
      </c>
      <c r="D29" s="8" t="s">
        <v>128</v>
      </c>
      <c r="E29" s="8" t="s">
        <v>29</v>
      </c>
      <c r="F29" s="8" t="s">
        <v>133</v>
      </c>
      <c r="G29" s="8"/>
      <c r="H29" s="8"/>
      <c r="I29" s="8"/>
      <c r="J29" s="8"/>
      <c r="K29" s="8"/>
      <c r="L29" s="4" t="s">
        <v>238</v>
      </c>
      <c r="N29" s="4" t="s">
        <v>238</v>
      </c>
      <c r="P29" s="8">
        <f t="shared" si="1"/>
        <v>0.2104275149</v>
      </c>
    </row>
    <row r="30" ht="15.75" customHeight="1">
      <c r="A30" s="7">
        <v>136.0</v>
      </c>
      <c r="B30" s="8" t="s">
        <v>136</v>
      </c>
      <c r="C30" s="4" t="s">
        <v>137</v>
      </c>
      <c r="D30" s="8" t="s">
        <v>138</v>
      </c>
      <c r="E30" s="8" t="s">
        <v>62</v>
      </c>
      <c r="F30" s="8" t="s">
        <v>146</v>
      </c>
      <c r="G30" s="8"/>
      <c r="H30" s="8"/>
      <c r="I30" s="8"/>
      <c r="J30" s="8"/>
      <c r="K30" s="8"/>
      <c r="L30" s="4" t="s">
        <v>238</v>
      </c>
      <c r="N30" s="4" t="s">
        <v>238</v>
      </c>
      <c r="P30" s="8">
        <f t="shared" si="1"/>
        <v>0.0009341261182</v>
      </c>
    </row>
    <row r="31" ht="15.75" customHeight="1">
      <c r="A31" s="7">
        <v>137.0</v>
      </c>
      <c r="B31" s="8" t="s">
        <v>136</v>
      </c>
      <c r="C31" s="4" t="s">
        <v>137</v>
      </c>
      <c r="D31" s="8" t="s">
        <v>138</v>
      </c>
      <c r="E31" s="8" t="s">
        <v>62</v>
      </c>
      <c r="F31" s="8" t="s">
        <v>147</v>
      </c>
      <c r="G31" s="8"/>
      <c r="H31" s="8"/>
      <c r="I31" s="8"/>
      <c r="J31" s="8"/>
      <c r="K31" s="8"/>
      <c r="L31" s="4" t="s">
        <v>238</v>
      </c>
      <c r="N31" s="4" t="s">
        <v>238</v>
      </c>
      <c r="P31" s="8">
        <f t="shared" si="1"/>
        <v>0.4326800115</v>
      </c>
    </row>
    <row r="32" ht="15.75" customHeight="1">
      <c r="A32" s="7">
        <v>2.0</v>
      </c>
      <c r="B32" s="8" t="s">
        <v>11</v>
      </c>
      <c r="C32" s="8" t="s">
        <v>12</v>
      </c>
      <c r="D32" s="8" t="s">
        <v>13</v>
      </c>
      <c r="E32" s="8" t="s">
        <v>14</v>
      </c>
      <c r="F32" s="4" t="s">
        <v>208</v>
      </c>
      <c r="G32" s="8"/>
      <c r="H32" s="8"/>
      <c r="I32" s="8"/>
      <c r="J32" s="8"/>
      <c r="K32" s="8"/>
      <c r="N32" s="4" t="s">
        <v>238</v>
      </c>
      <c r="P32" s="8">
        <f t="shared" si="1"/>
        <v>0.5440544273</v>
      </c>
    </row>
    <row r="33" ht="15.75" customHeight="1">
      <c r="A33" s="7">
        <v>8.0</v>
      </c>
      <c r="B33" s="8" t="s">
        <v>11</v>
      </c>
      <c r="C33" s="8" t="s">
        <v>12</v>
      </c>
      <c r="D33" s="8" t="s">
        <v>13</v>
      </c>
      <c r="E33" s="8" t="s">
        <v>29</v>
      </c>
      <c r="F33" s="8" t="s">
        <v>209</v>
      </c>
      <c r="G33" s="8"/>
      <c r="H33" s="8"/>
      <c r="I33" s="8"/>
      <c r="J33" s="8"/>
      <c r="K33" s="8"/>
      <c r="N33" s="4" t="s">
        <v>238</v>
      </c>
      <c r="P33" s="8">
        <f t="shared" si="1"/>
        <v>0.9443447461</v>
      </c>
    </row>
    <row r="34" ht="15.75" customHeight="1">
      <c r="A34" s="7">
        <v>17.0</v>
      </c>
      <c r="B34" s="8" t="s">
        <v>37</v>
      </c>
      <c r="C34" s="8" t="s">
        <v>38</v>
      </c>
      <c r="D34" s="8" t="s">
        <v>13</v>
      </c>
      <c r="E34" s="8" t="s">
        <v>14</v>
      </c>
      <c r="F34" s="8" t="s">
        <v>210</v>
      </c>
      <c r="G34" s="8"/>
      <c r="H34" s="8"/>
      <c r="I34" s="8"/>
      <c r="J34" s="8"/>
      <c r="K34" s="8"/>
      <c r="N34" s="4" t="s">
        <v>238</v>
      </c>
      <c r="P34" s="8">
        <f t="shared" si="1"/>
        <v>0.6083313332</v>
      </c>
    </row>
    <row r="35" ht="15.75" customHeight="1">
      <c r="A35" s="7">
        <v>23.0</v>
      </c>
      <c r="B35" s="8" t="s">
        <v>37</v>
      </c>
      <c r="C35" s="8" t="s">
        <v>38</v>
      </c>
      <c r="D35" s="8" t="s">
        <v>13</v>
      </c>
      <c r="E35" s="8" t="s">
        <v>29</v>
      </c>
      <c r="F35" s="8" t="s">
        <v>211</v>
      </c>
      <c r="G35" s="8"/>
      <c r="H35" s="8"/>
      <c r="I35" s="8"/>
      <c r="J35" s="8"/>
      <c r="K35" s="8"/>
      <c r="N35" s="4" t="s">
        <v>238</v>
      </c>
      <c r="P35" s="8">
        <f t="shared" si="1"/>
        <v>0.2677367364</v>
      </c>
    </row>
    <row r="36" ht="15.75" customHeight="1">
      <c r="A36" s="7">
        <v>34.0</v>
      </c>
      <c r="B36" s="8" t="s">
        <v>37</v>
      </c>
      <c r="C36" s="8" t="s">
        <v>38</v>
      </c>
      <c r="D36" s="8" t="s">
        <v>13</v>
      </c>
      <c r="E36" s="8" t="s">
        <v>34</v>
      </c>
      <c r="F36" s="8" t="s">
        <v>213</v>
      </c>
      <c r="G36" s="8"/>
      <c r="H36" s="8"/>
      <c r="I36" s="8"/>
      <c r="J36" s="8"/>
      <c r="K36" s="8"/>
      <c r="N36" s="4" t="s">
        <v>238</v>
      </c>
      <c r="P36" s="8">
        <f t="shared" si="1"/>
        <v>0.575055034</v>
      </c>
    </row>
    <row r="37" ht="15.75" customHeight="1">
      <c r="A37" s="7">
        <v>39.0</v>
      </c>
      <c r="B37" s="8" t="s">
        <v>65</v>
      </c>
      <c r="C37" s="8" t="s">
        <v>66</v>
      </c>
      <c r="D37" s="8" t="s">
        <v>67</v>
      </c>
      <c r="E37" s="8" t="s">
        <v>14</v>
      </c>
      <c r="F37" s="8" t="s">
        <v>214</v>
      </c>
      <c r="G37" s="8"/>
      <c r="H37" s="8"/>
      <c r="I37" s="8"/>
      <c r="J37" s="8"/>
      <c r="K37" s="8"/>
      <c r="N37" s="4" t="s">
        <v>238</v>
      </c>
      <c r="P37" s="8">
        <f t="shared" si="1"/>
        <v>0.07361825965</v>
      </c>
    </row>
    <row r="38" ht="15.75" customHeight="1">
      <c r="A38" s="7">
        <v>40.0</v>
      </c>
      <c r="B38" s="8" t="s">
        <v>65</v>
      </c>
      <c r="C38" s="8" t="s">
        <v>66</v>
      </c>
      <c r="D38" s="8" t="s">
        <v>67</v>
      </c>
      <c r="E38" s="8" t="s">
        <v>21</v>
      </c>
      <c r="F38" s="8" t="s">
        <v>215</v>
      </c>
      <c r="G38" s="8"/>
      <c r="H38" s="8"/>
      <c r="I38" s="8"/>
      <c r="J38" s="8"/>
      <c r="K38" s="8"/>
      <c r="N38" s="4" t="s">
        <v>238</v>
      </c>
      <c r="P38" s="8">
        <f t="shared" si="1"/>
        <v>0.003390488916</v>
      </c>
    </row>
    <row r="39" ht="15.75" customHeight="1">
      <c r="A39" s="7">
        <v>58.0</v>
      </c>
      <c r="B39" s="8" t="s">
        <v>65</v>
      </c>
      <c r="C39" s="8" t="s">
        <v>66</v>
      </c>
      <c r="D39" s="8" t="s">
        <v>67</v>
      </c>
      <c r="E39" s="8" t="s">
        <v>114</v>
      </c>
      <c r="F39" s="8" t="s">
        <v>217</v>
      </c>
      <c r="G39" s="8"/>
      <c r="H39" s="8"/>
      <c r="I39" s="8"/>
      <c r="J39" s="8"/>
      <c r="K39" s="8"/>
      <c r="N39" s="4" t="s">
        <v>238</v>
      </c>
      <c r="P39" s="8">
        <f t="shared" si="1"/>
        <v>0.9338641654</v>
      </c>
    </row>
    <row r="40" ht="15.75" customHeight="1">
      <c r="A40" s="7">
        <v>61.0</v>
      </c>
      <c r="B40" s="8" t="s">
        <v>65</v>
      </c>
      <c r="C40" s="8" t="s">
        <v>66</v>
      </c>
      <c r="D40" s="8" t="s">
        <v>67</v>
      </c>
      <c r="E40" s="8" t="s">
        <v>117</v>
      </c>
      <c r="F40" s="8" t="s">
        <v>218</v>
      </c>
      <c r="G40" s="8"/>
      <c r="H40" s="8"/>
      <c r="I40" s="8"/>
      <c r="J40" s="8"/>
      <c r="K40" s="8"/>
      <c r="N40" s="4" t="s">
        <v>238</v>
      </c>
      <c r="P40" s="8">
        <f t="shared" si="1"/>
        <v>0.1998774479</v>
      </c>
    </row>
    <row r="41" ht="15.75" customHeight="1">
      <c r="A41" s="7">
        <v>76.0</v>
      </c>
      <c r="B41" s="8" t="s">
        <v>96</v>
      </c>
      <c r="C41" s="8" t="s">
        <v>97</v>
      </c>
      <c r="D41" s="8" t="s">
        <v>98</v>
      </c>
      <c r="E41" s="8" t="s">
        <v>14</v>
      </c>
      <c r="F41" s="8" t="s">
        <v>219</v>
      </c>
      <c r="G41" s="8"/>
      <c r="H41" s="8"/>
      <c r="I41" s="8"/>
      <c r="J41" s="8"/>
      <c r="K41" s="8"/>
      <c r="N41" s="4" t="s">
        <v>238</v>
      </c>
      <c r="P41" s="8">
        <f t="shared" si="1"/>
        <v>0.1582666095</v>
      </c>
    </row>
    <row r="42" ht="15.75" customHeight="1">
      <c r="A42" s="7">
        <v>80.0</v>
      </c>
      <c r="B42" s="8" t="s">
        <v>96</v>
      </c>
      <c r="C42" s="8" t="s">
        <v>97</v>
      </c>
      <c r="D42" s="8" t="s">
        <v>98</v>
      </c>
      <c r="E42" s="8" t="s">
        <v>24</v>
      </c>
      <c r="F42" s="8" t="s">
        <v>220</v>
      </c>
      <c r="G42" s="8"/>
      <c r="H42" s="8"/>
      <c r="I42" s="8"/>
      <c r="J42" s="8"/>
      <c r="K42" s="8"/>
      <c r="N42" s="4" t="s">
        <v>238</v>
      </c>
      <c r="P42" s="8">
        <f t="shared" si="1"/>
        <v>0.1003568607</v>
      </c>
    </row>
    <row r="43" ht="15.75" customHeight="1">
      <c r="A43" s="7">
        <v>89.0</v>
      </c>
      <c r="B43" s="8" t="s">
        <v>96</v>
      </c>
      <c r="C43" s="8" t="s">
        <v>97</v>
      </c>
      <c r="D43" s="8" t="s">
        <v>98</v>
      </c>
      <c r="E43" s="8" t="s">
        <v>56</v>
      </c>
      <c r="F43" s="8" t="s">
        <v>221</v>
      </c>
      <c r="G43" s="8"/>
      <c r="H43" s="8"/>
      <c r="I43" s="8"/>
      <c r="J43" s="8"/>
      <c r="K43" s="8"/>
      <c r="N43" s="4" t="s">
        <v>238</v>
      </c>
      <c r="P43" s="8">
        <f t="shared" si="1"/>
        <v>0.3317899229</v>
      </c>
    </row>
    <row r="44" ht="15.75" customHeight="1">
      <c r="A44" s="7">
        <v>93.0</v>
      </c>
      <c r="B44" s="8" t="s">
        <v>96</v>
      </c>
      <c r="C44" s="8" t="s">
        <v>97</v>
      </c>
      <c r="D44" s="8" t="s">
        <v>98</v>
      </c>
      <c r="E44" s="8" t="s">
        <v>62</v>
      </c>
      <c r="F44" s="8" t="s">
        <v>222</v>
      </c>
      <c r="G44" s="8"/>
      <c r="H44" s="8"/>
      <c r="I44" s="8"/>
      <c r="J44" s="8"/>
      <c r="K44" s="8"/>
      <c r="N44" s="4" t="s">
        <v>238</v>
      </c>
      <c r="P44" s="8">
        <f t="shared" si="1"/>
        <v>0.3226093423</v>
      </c>
    </row>
    <row r="45" ht="15.75" customHeight="1">
      <c r="A45" s="7">
        <v>108.0</v>
      </c>
      <c r="B45" s="8" t="s">
        <v>126</v>
      </c>
      <c r="C45" s="8" t="s">
        <v>127</v>
      </c>
      <c r="D45" s="8" t="s">
        <v>128</v>
      </c>
      <c r="E45" s="8" t="s">
        <v>14</v>
      </c>
      <c r="F45" s="8" t="s">
        <v>223</v>
      </c>
      <c r="G45" s="8"/>
      <c r="H45" s="8"/>
      <c r="I45" s="8"/>
      <c r="J45" s="8"/>
      <c r="K45" s="8"/>
      <c r="N45" s="4" t="s">
        <v>238</v>
      </c>
      <c r="P45" s="8">
        <f t="shared" si="1"/>
        <v>0.600289526</v>
      </c>
    </row>
    <row r="46" ht="15.75" customHeight="1">
      <c r="A46" s="7">
        <v>113.0</v>
      </c>
      <c r="B46" s="8" t="s">
        <v>126</v>
      </c>
      <c r="C46" s="8" t="s">
        <v>127</v>
      </c>
      <c r="D46" s="8" t="s">
        <v>128</v>
      </c>
      <c r="E46" s="8" t="s">
        <v>24</v>
      </c>
      <c r="F46" s="8" t="s">
        <v>224</v>
      </c>
      <c r="G46" s="8"/>
      <c r="H46" s="8"/>
      <c r="I46" s="8"/>
      <c r="J46" s="8"/>
      <c r="K46" s="8"/>
      <c r="N46" s="4" t="s">
        <v>238</v>
      </c>
      <c r="P46" s="8">
        <f t="shared" si="1"/>
        <v>0.2977750303</v>
      </c>
    </row>
    <row r="47" ht="15.75" customHeight="1">
      <c r="A47" s="7">
        <v>129.0</v>
      </c>
      <c r="B47" s="8" t="s">
        <v>136</v>
      </c>
      <c r="C47" s="4" t="s">
        <v>137</v>
      </c>
      <c r="D47" s="8" t="s">
        <v>138</v>
      </c>
      <c r="E47" s="8" t="s">
        <v>31</v>
      </c>
      <c r="F47" s="8" t="s">
        <v>225</v>
      </c>
      <c r="G47" s="8"/>
      <c r="H47" s="8"/>
      <c r="I47" s="8"/>
      <c r="J47" s="8"/>
      <c r="K47" s="8"/>
      <c r="N47" s="4" t="s">
        <v>238</v>
      </c>
      <c r="P47" s="8">
        <f t="shared" si="1"/>
        <v>0.4068877034</v>
      </c>
    </row>
    <row r="48" ht="15.75" customHeight="1">
      <c r="A48" s="7">
        <v>130.0</v>
      </c>
      <c r="B48" s="8" t="s">
        <v>136</v>
      </c>
      <c r="C48" s="4" t="s">
        <v>137</v>
      </c>
      <c r="D48" s="8" t="s">
        <v>138</v>
      </c>
      <c r="E48" s="8" t="s">
        <v>53</v>
      </c>
      <c r="F48" s="8" t="s">
        <v>227</v>
      </c>
      <c r="G48" s="8"/>
      <c r="H48" s="8"/>
      <c r="I48" s="8"/>
      <c r="J48" s="8"/>
      <c r="K48" s="8"/>
      <c r="N48" s="4" t="s">
        <v>238</v>
      </c>
      <c r="P48" s="8">
        <f t="shared" si="1"/>
        <v>0.598234221</v>
      </c>
    </row>
    <row r="49" ht="15.75" customHeight="1">
      <c r="A49" s="7">
        <v>131.0</v>
      </c>
      <c r="B49" s="8" t="s">
        <v>136</v>
      </c>
      <c r="C49" s="4" t="s">
        <v>137</v>
      </c>
      <c r="D49" s="8" t="s">
        <v>138</v>
      </c>
      <c r="E49" s="8" t="s">
        <v>53</v>
      </c>
      <c r="F49" s="8" t="s">
        <v>228</v>
      </c>
      <c r="G49" s="8"/>
      <c r="H49" s="8"/>
      <c r="I49" s="8"/>
      <c r="J49" s="8"/>
      <c r="K49" s="8"/>
      <c r="N49" s="4" t="s">
        <v>238</v>
      </c>
      <c r="P49" s="8">
        <f t="shared" si="1"/>
        <v>0.3728947501</v>
      </c>
    </row>
    <row r="50" ht="15.75" customHeight="1">
      <c r="A50" s="7">
        <v>132.0</v>
      </c>
      <c r="B50" s="8" t="s">
        <v>136</v>
      </c>
      <c r="C50" s="4" t="s">
        <v>137</v>
      </c>
      <c r="D50" s="8" t="s">
        <v>138</v>
      </c>
      <c r="E50" s="8" t="s">
        <v>56</v>
      </c>
      <c r="F50" s="8" t="s">
        <v>229</v>
      </c>
      <c r="G50" s="8"/>
      <c r="H50" s="8"/>
      <c r="I50" s="8"/>
      <c r="J50" s="8"/>
      <c r="K50" s="8"/>
      <c r="N50" s="4" t="s">
        <v>238</v>
      </c>
      <c r="P50" s="8">
        <f t="shared" si="1"/>
        <v>0.8947491322</v>
      </c>
    </row>
    <row r="51" ht="15.75" customHeight="1">
      <c r="A51" s="7">
        <v>145.0</v>
      </c>
      <c r="B51" s="8" t="s">
        <v>136</v>
      </c>
      <c r="C51" s="4" t="s">
        <v>137</v>
      </c>
      <c r="D51" s="8" t="s">
        <v>138</v>
      </c>
      <c r="E51" s="8" t="s">
        <v>82</v>
      </c>
      <c r="F51" s="8" t="s">
        <v>230</v>
      </c>
      <c r="G51" s="8"/>
      <c r="H51" s="8"/>
      <c r="I51" s="8"/>
      <c r="J51" s="8"/>
      <c r="K51" s="8"/>
      <c r="N51" s="4" t="s">
        <v>238</v>
      </c>
      <c r="P51" s="8">
        <f t="shared" si="1"/>
        <v>0.8248796736</v>
      </c>
    </row>
    <row r="52" ht="15.75" customHeight="1">
      <c r="A52" s="7">
        <v>149.0</v>
      </c>
      <c r="B52" s="8" t="s">
        <v>155</v>
      </c>
      <c r="C52" s="8" t="s">
        <v>156</v>
      </c>
      <c r="D52" s="8" t="s">
        <v>157</v>
      </c>
      <c r="E52" s="8" t="s">
        <v>39</v>
      </c>
      <c r="F52" s="8" t="s">
        <v>231</v>
      </c>
      <c r="G52" s="8"/>
      <c r="H52" s="8"/>
      <c r="I52" s="8"/>
      <c r="J52" s="8"/>
      <c r="K52" s="8"/>
      <c r="N52" s="4" t="s">
        <v>238</v>
      </c>
      <c r="P52" s="8">
        <f t="shared" si="1"/>
        <v>0.9570873857</v>
      </c>
    </row>
    <row r="53" ht="15.75" customHeight="1">
      <c r="A53" s="7">
        <v>150.0</v>
      </c>
      <c r="B53" s="8" t="s">
        <v>155</v>
      </c>
      <c r="C53" s="8" t="s">
        <v>156</v>
      </c>
      <c r="D53" s="8" t="s">
        <v>157</v>
      </c>
      <c r="E53" s="8" t="s">
        <v>14</v>
      </c>
      <c r="F53" s="8" t="s">
        <v>232</v>
      </c>
      <c r="G53" s="8"/>
      <c r="H53" s="8"/>
      <c r="I53" s="8"/>
      <c r="J53" s="8"/>
      <c r="K53" s="8"/>
      <c r="N53" s="4" t="s">
        <v>238</v>
      </c>
      <c r="P53" s="8">
        <f t="shared" si="1"/>
        <v>0.8467730553</v>
      </c>
    </row>
    <row r="54" ht="15.75" customHeight="1">
      <c r="A54" s="7">
        <v>158.0</v>
      </c>
      <c r="B54" s="8" t="s">
        <v>155</v>
      </c>
      <c r="C54" s="8" t="s">
        <v>156</v>
      </c>
      <c r="D54" s="8" t="s">
        <v>157</v>
      </c>
      <c r="E54" s="8" t="s">
        <v>31</v>
      </c>
      <c r="F54" s="8" t="s">
        <v>233</v>
      </c>
      <c r="G54" s="8"/>
      <c r="H54" s="8"/>
      <c r="I54" s="8"/>
      <c r="J54" s="8"/>
      <c r="K54" s="8"/>
      <c r="N54" s="4" t="s">
        <v>238</v>
      </c>
      <c r="P54" s="8">
        <f t="shared" si="1"/>
        <v>0.1814898298</v>
      </c>
    </row>
    <row r="55" ht="15.75" customHeight="1">
      <c r="A55" s="7">
        <v>5.0</v>
      </c>
      <c r="B55" s="8" t="s">
        <v>11</v>
      </c>
      <c r="C55" s="8" t="s">
        <v>12</v>
      </c>
      <c r="D55" s="8" t="s">
        <v>13</v>
      </c>
      <c r="E55" s="8" t="s">
        <v>21</v>
      </c>
      <c r="F55" s="8" t="s">
        <v>23</v>
      </c>
      <c r="G55" s="8"/>
      <c r="H55" s="8"/>
      <c r="I55" s="8"/>
      <c r="J55" s="8"/>
      <c r="K55" s="8"/>
      <c r="L55" s="4" t="s">
        <v>238</v>
      </c>
      <c r="M55" s="4" t="s">
        <v>238</v>
      </c>
      <c r="P55" s="8">
        <f t="shared" si="1"/>
        <v>0.4052666052</v>
      </c>
    </row>
    <row r="56" ht="15.75" customHeight="1">
      <c r="A56" s="7">
        <v>6.0</v>
      </c>
      <c r="B56" s="8" t="s">
        <v>11</v>
      </c>
      <c r="C56" s="8" t="s">
        <v>12</v>
      </c>
      <c r="D56" s="8" t="s">
        <v>13</v>
      </c>
      <c r="E56" s="8" t="s">
        <v>24</v>
      </c>
      <c r="F56" s="4" t="s">
        <v>25</v>
      </c>
      <c r="G56" s="8"/>
      <c r="H56" s="8"/>
      <c r="I56" s="8"/>
      <c r="J56" s="8"/>
      <c r="K56" s="8"/>
      <c r="L56" s="4" t="s">
        <v>238</v>
      </c>
      <c r="M56" s="4" t="s">
        <v>238</v>
      </c>
      <c r="P56" s="8">
        <f t="shared" si="1"/>
        <v>0.3550131581</v>
      </c>
    </row>
    <row r="57" ht="15.75" customHeight="1">
      <c r="A57" s="7">
        <v>7.0</v>
      </c>
      <c r="B57" s="8" t="s">
        <v>11</v>
      </c>
      <c r="C57" s="8" t="s">
        <v>12</v>
      </c>
      <c r="D57" s="8" t="s">
        <v>13</v>
      </c>
      <c r="E57" s="8" t="s">
        <v>24</v>
      </c>
      <c r="F57" s="4" t="s">
        <v>28</v>
      </c>
      <c r="G57" s="8"/>
      <c r="H57" s="8"/>
      <c r="I57" s="8"/>
      <c r="J57" s="8"/>
      <c r="K57" s="8"/>
      <c r="L57" s="4" t="s">
        <v>238</v>
      </c>
      <c r="M57" s="4" t="s">
        <v>238</v>
      </c>
      <c r="P57" s="8">
        <f t="shared" si="1"/>
        <v>0.3426076337</v>
      </c>
    </row>
    <row r="58" ht="15.75" customHeight="1">
      <c r="A58" s="7">
        <v>19.0</v>
      </c>
      <c r="B58" s="8" t="s">
        <v>37</v>
      </c>
      <c r="C58" s="8" t="s">
        <v>38</v>
      </c>
      <c r="D58" s="8" t="s">
        <v>13</v>
      </c>
      <c r="E58" s="8" t="s">
        <v>21</v>
      </c>
      <c r="F58" s="8" t="s">
        <v>46</v>
      </c>
      <c r="G58" s="8"/>
      <c r="H58" s="8"/>
      <c r="I58" s="8"/>
      <c r="J58" s="8"/>
      <c r="K58" s="8"/>
      <c r="L58" s="4" t="s">
        <v>238</v>
      </c>
      <c r="M58" s="4" t="s">
        <v>238</v>
      </c>
      <c r="P58" s="8">
        <f t="shared" si="1"/>
        <v>0.1558121877</v>
      </c>
    </row>
    <row r="59" ht="15.75" customHeight="1">
      <c r="A59" s="7">
        <v>20.0</v>
      </c>
      <c r="B59" s="8" t="s">
        <v>37</v>
      </c>
      <c r="C59" s="8" t="s">
        <v>38</v>
      </c>
      <c r="D59" s="8" t="s">
        <v>13</v>
      </c>
      <c r="E59" s="8" t="s">
        <v>24</v>
      </c>
      <c r="F59" s="8" t="s">
        <v>47</v>
      </c>
      <c r="G59" s="8"/>
      <c r="H59" s="8"/>
      <c r="I59" s="8"/>
      <c r="J59" s="8"/>
      <c r="K59" s="8"/>
      <c r="L59" s="4" t="s">
        <v>238</v>
      </c>
      <c r="M59" s="4" t="s">
        <v>238</v>
      </c>
      <c r="P59" s="8">
        <f t="shared" si="1"/>
        <v>0.3213565926</v>
      </c>
    </row>
    <row r="60" ht="15.75" customHeight="1">
      <c r="A60" s="7">
        <v>32.0</v>
      </c>
      <c r="B60" s="8" t="s">
        <v>37</v>
      </c>
      <c r="C60" s="8" t="s">
        <v>38</v>
      </c>
      <c r="D60" s="8" t="s">
        <v>13</v>
      </c>
      <c r="E60" s="8" t="s">
        <v>62</v>
      </c>
      <c r="F60" s="8" t="s">
        <v>63</v>
      </c>
      <c r="G60" s="8"/>
      <c r="H60" s="8"/>
      <c r="I60" s="8"/>
      <c r="J60" s="8"/>
      <c r="K60" s="8"/>
      <c r="L60" s="4" t="s">
        <v>238</v>
      </c>
      <c r="M60" s="4" t="s">
        <v>238</v>
      </c>
      <c r="P60" s="8">
        <f t="shared" si="1"/>
        <v>0.4530437382</v>
      </c>
    </row>
    <row r="61" ht="15.75" customHeight="1">
      <c r="A61" s="7">
        <v>77.0</v>
      </c>
      <c r="B61" s="8" t="s">
        <v>96</v>
      </c>
      <c r="C61" s="8" t="s">
        <v>97</v>
      </c>
      <c r="D61" s="8" t="s">
        <v>98</v>
      </c>
      <c r="E61" s="8" t="s">
        <v>14</v>
      </c>
      <c r="F61" s="8" t="s">
        <v>99</v>
      </c>
      <c r="G61" s="8"/>
      <c r="H61" s="8"/>
      <c r="I61" s="8"/>
      <c r="J61" s="8"/>
      <c r="K61" s="8"/>
      <c r="L61" s="4" t="s">
        <v>238</v>
      </c>
      <c r="M61" s="4" t="s">
        <v>238</v>
      </c>
      <c r="P61" s="8">
        <f t="shared" si="1"/>
        <v>0.6210991142</v>
      </c>
    </row>
    <row r="62" ht="15.75" customHeight="1">
      <c r="A62" s="7">
        <v>78.0</v>
      </c>
      <c r="B62" s="8" t="s">
        <v>96</v>
      </c>
      <c r="C62" s="8" t="s">
        <v>97</v>
      </c>
      <c r="D62" s="8" t="s">
        <v>98</v>
      </c>
      <c r="E62" s="8" t="s">
        <v>21</v>
      </c>
      <c r="F62" s="8" t="s">
        <v>100</v>
      </c>
      <c r="G62" s="8"/>
      <c r="H62" s="8"/>
      <c r="I62" s="8"/>
      <c r="J62" s="8"/>
      <c r="K62" s="8"/>
      <c r="L62" s="4" t="s">
        <v>238</v>
      </c>
      <c r="M62" s="4" t="s">
        <v>238</v>
      </c>
      <c r="P62" s="8">
        <f t="shared" si="1"/>
        <v>0.487849273</v>
      </c>
    </row>
    <row r="63" ht="15.75" customHeight="1">
      <c r="A63" s="7">
        <v>83.0</v>
      </c>
      <c r="B63" s="8" t="s">
        <v>96</v>
      </c>
      <c r="C63" s="8" t="s">
        <v>97</v>
      </c>
      <c r="D63" s="8" t="s">
        <v>98</v>
      </c>
      <c r="E63" s="8" t="s">
        <v>29</v>
      </c>
      <c r="F63" s="8" t="s">
        <v>103</v>
      </c>
      <c r="G63" s="8"/>
      <c r="H63" s="8"/>
      <c r="I63" s="8"/>
      <c r="J63" s="8"/>
      <c r="K63" s="8"/>
      <c r="L63" s="4" t="s">
        <v>238</v>
      </c>
      <c r="M63" s="4" t="s">
        <v>238</v>
      </c>
      <c r="P63" s="8">
        <f t="shared" si="1"/>
        <v>0.4506300912</v>
      </c>
    </row>
    <row r="64" ht="15.75" customHeight="1">
      <c r="A64" s="7">
        <v>91.0</v>
      </c>
      <c r="B64" s="8" t="s">
        <v>96</v>
      </c>
      <c r="C64" s="8" t="s">
        <v>97</v>
      </c>
      <c r="D64" s="8" t="s">
        <v>98</v>
      </c>
      <c r="E64" s="8" t="s">
        <v>59</v>
      </c>
      <c r="F64" s="8" t="s">
        <v>109</v>
      </c>
      <c r="G64" s="8"/>
      <c r="H64" s="8"/>
      <c r="I64" s="8"/>
      <c r="J64" s="8"/>
      <c r="K64" s="8"/>
      <c r="L64" s="4" t="s">
        <v>238</v>
      </c>
      <c r="M64" s="4" t="s">
        <v>238</v>
      </c>
      <c r="P64" s="8">
        <f t="shared" si="1"/>
        <v>0.5729090308</v>
      </c>
    </row>
    <row r="65" ht="15.75" customHeight="1">
      <c r="A65" s="7">
        <v>96.0</v>
      </c>
      <c r="B65" s="8" t="s">
        <v>96</v>
      </c>
      <c r="C65" s="8" t="s">
        <v>97</v>
      </c>
      <c r="D65" s="8" t="s">
        <v>98</v>
      </c>
      <c r="E65" s="8" t="s">
        <v>114</v>
      </c>
      <c r="F65" s="8" t="s">
        <v>115</v>
      </c>
      <c r="G65" s="8"/>
      <c r="H65" s="8"/>
      <c r="I65" s="8"/>
      <c r="J65" s="8"/>
      <c r="K65" s="8"/>
      <c r="L65" s="4" t="s">
        <v>238</v>
      </c>
      <c r="M65" s="4" t="s">
        <v>238</v>
      </c>
      <c r="P65" s="8">
        <f t="shared" si="1"/>
        <v>0.1369999052</v>
      </c>
    </row>
    <row r="66" ht="15.75" customHeight="1">
      <c r="A66" s="7">
        <v>111.0</v>
      </c>
      <c r="B66" s="8" t="s">
        <v>126</v>
      </c>
      <c r="C66" s="8" t="s">
        <v>127</v>
      </c>
      <c r="D66" s="8" t="s">
        <v>128</v>
      </c>
      <c r="E66" s="8" t="s">
        <v>21</v>
      </c>
      <c r="F66" s="8" t="s">
        <v>131</v>
      </c>
      <c r="G66" s="8"/>
      <c r="H66" s="8"/>
      <c r="I66" s="8"/>
      <c r="J66" s="8"/>
      <c r="K66" s="8"/>
      <c r="L66" s="4" t="s">
        <v>238</v>
      </c>
      <c r="M66" s="4" t="s">
        <v>238</v>
      </c>
      <c r="P66" s="8">
        <f t="shared" si="1"/>
        <v>0.6449710985</v>
      </c>
    </row>
    <row r="67" ht="15.75" customHeight="1">
      <c r="A67" s="7">
        <v>133.0</v>
      </c>
      <c r="B67" s="8" t="s">
        <v>136</v>
      </c>
      <c r="C67" s="4" t="s">
        <v>137</v>
      </c>
      <c r="D67" s="8" t="s">
        <v>138</v>
      </c>
      <c r="E67" s="8" t="s">
        <v>56</v>
      </c>
      <c r="F67" s="8" t="s">
        <v>143</v>
      </c>
      <c r="G67" s="8"/>
      <c r="H67" s="8"/>
      <c r="I67" s="8"/>
      <c r="J67" s="8"/>
      <c r="K67" s="8"/>
      <c r="L67" s="4" t="s">
        <v>238</v>
      </c>
      <c r="M67" s="4" t="s">
        <v>238</v>
      </c>
      <c r="P67" s="8">
        <f t="shared" si="1"/>
        <v>0.9800462001</v>
      </c>
    </row>
    <row r="68" ht="15.75" customHeight="1">
      <c r="A68" s="7">
        <v>148.0</v>
      </c>
      <c r="B68" s="8" t="s">
        <v>155</v>
      </c>
      <c r="C68" s="8" t="s">
        <v>156</v>
      </c>
      <c r="D68" s="8" t="s">
        <v>157</v>
      </c>
      <c r="E68" s="8" t="s">
        <v>39</v>
      </c>
      <c r="F68" s="8" t="s">
        <v>158</v>
      </c>
      <c r="G68" s="8"/>
      <c r="H68" s="8"/>
      <c r="I68" s="8"/>
      <c r="J68" s="8"/>
      <c r="K68" s="8"/>
      <c r="L68" s="4" t="s">
        <v>238</v>
      </c>
      <c r="M68" s="4" t="s">
        <v>238</v>
      </c>
      <c r="P68" s="8">
        <f t="shared" si="1"/>
        <v>0.7357640748</v>
      </c>
    </row>
    <row r="69" ht="15.75" customHeight="1">
      <c r="A69" s="7">
        <v>161.0</v>
      </c>
      <c r="B69" s="8" t="s">
        <v>155</v>
      </c>
      <c r="C69" s="8" t="s">
        <v>156</v>
      </c>
      <c r="D69" s="8" t="s">
        <v>157</v>
      </c>
      <c r="E69" s="8" t="s">
        <v>34</v>
      </c>
      <c r="F69" s="8" t="s">
        <v>166</v>
      </c>
      <c r="G69" s="8"/>
      <c r="H69" s="8"/>
      <c r="I69" s="8"/>
      <c r="J69" s="8"/>
      <c r="K69" s="8"/>
      <c r="L69" s="4" t="s">
        <v>238</v>
      </c>
      <c r="M69" s="4" t="s">
        <v>238</v>
      </c>
      <c r="P69" s="8">
        <f t="shared" si="1"/>
        <v>0.1757856886</v>
      </c>
    </row>
    <row r="70" ht="15.75" customHeight="1">
      <c r="A70" s="7">
        <v>0.0</v>
      </c>
      <c r="B70" s="8" t="s">
        <v>11</v>
      </c>
      <c r="C70" s="8" t="s">
        <v>12</v>
      </c>
      <c r="D70" s="8" t="s">
        <v>13</v>
      </c>
      <c r="E70" s="8" t="s">
        <v>39</v>
      </c>
      <c r="F70" s="8" t="s">
        <v>167</v>
      </c>
      <c r="G70" s="8"/>
      <c r="H70" s="8"/>
      <c r="I70" s="8"/>
      <c r="J70" s="8"/>
      <c r="K70" s="8"/>
      <c r="M70" s="4" t="s">
        <v>238</v>
      </c>
      <c r="P70" s="8">
        <f t="shared" si="1"/>
        <v>0.1637385062</v>
      </c>
    </row>
    <row r="71" ht="15.75" customHeight="1">
      <c r="A71" s="7">
        <v>1.0</v>
      </c>
      <c r="B71" s="8" t="s">
        <v>11</v>
      </c>
      <c r="C71" s="8" t="s">
        <v>12</v>
      </c>
      <c r="D71" s="8" t="s">
        <v>13</v>
      </c>
      <c r="E71" s="8" t="s">
        <v>39</v>
      </c>
      <c r="F71" s="8" t="s">
        <v>168</v>
      </c>
      <c r="G71" s="8"/>
      <c r="H71" s="8"/>
      <c r="I71" s="8"/>
      <c r="J71" s="8"/>
      <c r="K71" s="8"/>
      <c r="M71" s="4" t="s">
        <v>238</v>
      </c>
      <c r="P71" s="8">
        <f t="shared" si="1"/>
        <v>0.04609983075</v>
      </c>
    </row>
    <row r="72" ht="15.75" customHeight="1">
      <c r="A72" s="7">
        <v>30.0</v>
      </c>
      <c r="B72" s="8" t="s">
        <v>37</v>
      </c>
      <c r="C72" s="8" t="s">
        <v>38</v>
      </c>
      <c r="D72" s="8" t="s">
        <v>13</v>
      </c>
      <c r="E72" s="8" t="s">
        <v>59</v>
      </c>
      <c r="F72" s="8" t="s">
        <v>171</v>
      </c>
      <c r="G72" s="8"/>
      <c r="H72" s="8"/>
      <c r="I72" s="8"/>
      <c r="J72" s="8"/>
      <c r="K72" s="8"/>
      <c r="M72" s="4" t="s">
        <v>238</v>
      </c>
      <c r="P72" s="8">
        <f t="shared" si="1"/>
        <v>0.1195546357</v>
      </c>
    </row>
    <row r="73" ht="15.75" customHeight="1">
      <c r="A73" s="7">
        <v>36.0</v>
      </c>
      <c r="B73" s="8" t="s">
        <v>65</v>
      </c>
      <c r="C73" s="8" t="s">
        <v>66</v>
      </c>
      <c r="D73" s="8" t="s">
        <v>67</v>
      </c>
      <c r="E73" s="8" t="s">
        <v>39</v>
      </c>
      <c r="F73" s="8" t="s">
        <v>173</v>
      </c>
      <c r="G73" s="8"/>
      <c r="H73" s="8"/>
      <c r="I73" s="8"/>
      <c r="J73" s="8"/>
      <c r="K73" s="8"/>
      <c r="M73" s="4" t="s">
        <v>238</v>
      </c>
      <c r="P73" s="8">
        <f t="shared" si="1"/>
        <v>0.8777807703</v>
      </c>
    </row>
    <row r="74" ht="15.75" customHeight="1">
      <c r="A74" s="7">
        <v>38.0</v>
      </c>
      <c r="B74" s="8" t="s">
        <v>65</v>
      </c>
      <c r="C74" s="8" t="s">
        <v>66</v>
      </c>
      <c r="D74" s="8" t="s">
        <v>67</v>
      </c>
      <c r="E74" s="8" t="s">
        <v>14</v>
      </c>
      <c r="F74" s="8" t="s">
        <v>174</v>
      </c>
      <c r="G74" s="8"/>
      <c r="H74" s="8"/>
      <c r="I74" s="8"/>
      <c r="J74" s="8"/>
      <c r="K74" s="8"/>
      <c r="M74" s="4" t="s">
        <v>238</v>
      </c>
      <c r="P74" s="8">
        <f t="shared" si="1"/>
        <v>0.4422299718</v>
      </c>
    </row>
    <row r="75" ht="15.75" customHeight="1">
      <c r="A75" s="7">
        <v>47.0</v>
      </c>
      <c r="B75" s="8" t="s">
        <v>65</v>
      </c>
      <c r="C75" s="8" t="s">
        <v>66</v>
      </c>
      <c r="D75" s="8" t="s">
        <v>67</v>
      </c>
      <c r="E75" s="8" t="s">
        <v>31</v>
      </c>
      <c r="F75" s="8" t="s">
        <v>175</v>
      </c>
      <c r="G75" s="8"/>
      <c r="H75" s="8"/>
      <c r="I75" s="8"/>
      <c r="J75" s="8"/>
      <c r="K75" s="8"/>
      <c r="M75" s="4" t="s">
        <v>238</v>
      </c>
      <c r="P75" s="8">
        <f t="shared" si="1"/>
        <v>0.5448010258</v>
      </c>
    </row>
    <row r="76" ht="15.75" customHeight="1">
      <c r="A76" s="7">
        <v>48.0</v>
      </c>
      <c r="B76" s="8" t="s">
        <v>65</v>
      </c>
      <c r="C76" s="8" t="s">
        <v>66</v>
      </c>
      <c r="D76" s="8" t="s">
        <v>67</v>
      </c>
      <c r="E76" s="8" t="s">
        <v>53</v>
      </c>
      <c r="F76" s="8" t="s">
        <v>176</v>
      </c>
      <c r="G76" s="8"/>
      <c r="H76" s="8"/>
      <c r="I76" s="8"/>
      <c r="J76" s="8"/>
      <c r="K76" s="8"/>
      <c r="M76" s="4" t="s">
        <v>238</v>
      </c>
      <c r="P76" s="8">
        <f t="shared" si="1"/>
        <v>0.2488281344</v>
      </c>
    </row>
    <row r="77" ht="15.75" customHeight="1">
      <c r="A77" s="7">
        <v>53.0</v>
      </c>
      <c r="B77" s="8" t="s">
        <v>65</v>
      </c>
      <c r="C77" s="8" t="s">
        <v>66</v>
      </c>
      <c r="D77" s="8" t="s">
        <v>67</v>
      </c>
      <c r="E77" s="8" t="s">
        <v>59</v>
      </c>
      <c r="F77" s="8" t="s">
        <v>177</v>
      </c>
      <c r="G77" s="8"/>
      <c r="H77" s="8"/>
      <c r="I77" s="8"/>
      <c r="J77" s="8"/>
      <c r="K77" s="8"/>
      <c r="M77" s="4" t="s">
        <v>238</v>
      </c>
      <c r="P77" s="8">
        <f t="shared" si="1"/>
        <v>0.3707487469</v>
      </c>
    </row>
    <row r="78" ht="15.75" customHeight="1">
      <c r="A78" s="7">
        <v>56.0</v>
      </c>
      <c r="B78" s="8" t="s">
        <v>65</v>
      </c>
      <c r="C78" s="8" t="s">
        <v>66</v>
      </c>
      <c r="D78" s="8" t="s">
        <v>67</v>
      </c>
      <c r="E78" s="8" t="s">
        <v>111</v>
      </c>
      <c r="F78" s="8" t="s">
        <v>179</v>
      </c>
      <c r="G78" s="8"/>
      <c r="H78" s="8"/>
      <c r="I78" s="8"/>
      <c r="J78" s="8"/>
      <c r="K78" s="8"/>
      <c r="M78" s="4" t="s">
        <v>238</v>
      </c>
      <c r="P78" s="8">
        <f t="shared" si="1"/>
        <v>0.4674973898</v>
      </c>
    </row>
    <row r="79" ht="15.75" customHeight="1">
      <c r="A79" s="7">
        <v>57.0</v>
      </c>
      <c r="B79" s="8" t="s">
        <v>65</v>
      </c>
      <c r="C79" s="8" t="s">
        <v>66</v>
      </c>
      <c r="D79" s="8" t="s">
        <v>67</v>
      </c>
      <c r="E79" s="8" t="s">
        <v>111</v>
      </c>
      <c r="F79" s="8" t="s">
        <v>180</v>
      </c>
      <c r="G79" s="8"/>
      <c r="H79" s="8"/>
      <c r="I79" s="8"/>
      <c r="J79" s="8"/>
      <c r="K79" s="8"/>
      <c r="M79" s="4" t="s">
        <v>238</v>
      </c>
      <c r="P79" s="8">
        <f t="shared" si="1"/>
        <v>0.4664602981</v>
      </c>
    </row>
    <row r="80" ht="15.75" customHeight="1">
      <c r="A80" s="7">
        <v>67.0</v>
      </c>
      <c r="B80" s="8" t="s">
        <v>65</v>
      </c>
      <c r="C80" s="8" t="s">
        <v>66</v>
      </c>
      <c r="D80" s="8" t="s">
        <v>67</v>
      </c>
      <c r="E80" s="8" t="s">
        <v>88</v>
      </c>
      <c r="F80" s="8" t="s">
        <v>183</v>
      </c>
      <c r="G80" s="8"/>
      <c r="H80" s="8"/>
      <c r="I80" s="8"/>
      <c r="J80" s="8"/>
      <c r="K80" s="8"/>
      <c r="M80" s="4" t="s">
        <v>238</v>
      </c>
      <c r="P80" s="8">
        <f t="shared" si="1"/>
        <v>0.8699755458</v>
      </c>
    </row>
    <row r="81" ht="15.75" customHeight="1">
      <c r="A81" s="7">
        <v>71.0</v>
      </c>
      <c r="B81" s="8" t="s">
        <v>65</v>
      </c>
      <c r="C81" s="8" t="s">
        <v>66</v>
      </c>
      <c r="D81" s="8" t="s">
        <v>67</v>
      </c>
      <c r="E81" s="8" t="s">
        <v>93</v>
      </c>
      <c r="F81" s="8" t="s">
        <v>184</v>
      </c>
      <c r="G81" s="8"/>
      <c r="H81" s="8"/>
      <c r="I81" s="8"/>
      <c r="J81" s="8"/>
      <c r="K81" s="8"/>
      <c r="M81" s="4" t="s">
        <v>238</v>
      </c>
      <c r="P81" s="8">
        <f t="shared" si="1"/>
        <v>0.5336037909</v>
      </c>
    </row>
    <row r="82" ht="15.75" customHeight="1">
      <c r="A82" s="7">
        <v>74.0</v>
      </c>
      <c r="B82" s="8" t="s">
        <v>96</v>
      </c>
      <c r="C82" s="8" t="s">
        <v>97</v>
      </c>
      <c r="D82" s="8" t="s">
        <v>98</v>
      </c>
      <c r="E82" s="8" t="s">
        <v>39</v>
      </c>
      <c r="F82" s="8" t="s">
        <v>186</v>
      </c>
      <c r="G82" s="8"/>
      <c r="H82" s="8"/>
      <c r="I82" s="8"/>
      <c r="J82" s="8"/>
      <c r="K82" s="8"/>
      <c r="M82" s="4" t="s">
        <v>238</v>
      </c>
      <c r="P82" s="8">
        <f t="shared" si="1"/>
        <v>0.6987898687</v>
      </c>
    </row>
    <row r="83" ht="15.75" customHeight="1">
      <c r="A83" s="7">
        <v>75.0</v>
      </c>
      <c r="B83" s="8" t="s">
        <v>96</v>
      </c>
      <c r="C83" s="8" t="s">
        <v>97</v>
      </c>
      <c r="D83" s="8" t="s">
        <v>98</v>
      </c>
      <c r="E83" s="8" t="s">
        <v>39</v>
      </c>
      <c r="F83" s="8" t="s">
        <v>187</v>
      </c>
      <c r="G83" s="8"/>
      <c r="H83" s="8"/>
      <c r="I83" s="8"/>
      <c r="J83" s="8"/>
      <c r="K83" s="8"/>
      <c r="M83" s="4" t="s">
        <v>238</v>
      </c>
      <c r="P83" s="8">
        <f t="shared" si="1"/>
        <v>0.494594303</v>
      </c>
    </row>
    <row r="84" ht="15.75" customHeight="1">
      <c r="A84" s="7">
        <v>110.0</v>
      </c>
      <c r="B84" s="8" t="s">
        <v>126</v>
      </c>
      <c r="C84" s="8" t="s">
        <v>127</v>
      </c>
      <c r="D84" s="8" t="s">
        <v>128</v>
      </c>
      <c r="E84" s="8" t="s">
        <v>21</v>
      </c>
      <c r="F84" s="8" t="s">
        <v>193</v>
      </c>
      <c r="G84" s="8"/>
      <c r="H84" s="8"/>
      <c r="I84" s="8"/>
      <c r="J84" s="8"/>
      <c r="K84" s="8"/>
      <c r="M84" s="4" t="s">
        <v>238</v>
      </c>
      <c r="P84" s="8">
        <f t="shared" si="1"/>
        <v>0.8672307033</v>
      </c>
    </row>
    <row r="85" ht="15.75" customHeight="1">
      <c r="A85" s="7">
        <v>119.0</v>
      </c>
      <c r="B85" s="8" t="s">
        <v>136</v>
      </c>
      <c r="C85" s="4" t="s">
        <v>137</v>
      </c>
      <c r="D85" s="8" t="s">
        <v>138</v>
      </c>
      <c r="E85" s="8" t="s">
        <v>39</v>
      </c>
      <c r="F85" s="8" t="s">
        <v>195</v>
      </c>
      <c r="G85" s="8"/>
      <c r="H85" s="8"/>
      <c r="I85" s="8"/>
      <c r="J85" s="8"/>
      <c r="K85" s="8"/>
      <c r="M85" s="4" t="s">
        <v>238</v>
      </c>
      <c r="P85" s="8">
        <f t="shared" si="1"/>
        <v>0.1757897344</v>
      </c>
    </row>
    <row r="86" ht="15.75" customHeight="1">
      <c r="A86" s="7">
        <v>121.0</v>
      </c>
      <c r="B86" s="8" t="s">
        <v>136</v>
      </c>
      <c r="C86" s="4" t="s">
        <v>137</v>
      </c>
      <c r="D86" s="8" t="s">
        <v>138</v>
      </c>
      <c r="E86" s="8" t="s">
        <v>14</v>
      </c>
      <c r="F86" s="8" t="s">
        <v>196</v>
      </c>
      <c r="G86" s="8"/>
      <c r="H86" s="8"/>
      <c r="I86" s="8"/>
      <c r="J86" s="8"/>
      <c r="K86" s="8"/>
      <c r="M86" s="4" t="s">
        <v>238</v>
      </c>
      <c r="P86" s="8">
        <f t="shared" si="1"/>
        <v>0.6759788135</v>
      </c>
    </row>
    <row r="87" ht="15.75" customHeight="1">
      <c r="A87" s="7">
        <v>124.0</v>
      </c>
      <c r="B87" s="8" t="s">
        <v>136</v>
      </c>
      <c r="C87" s="4" t="s">
        <v>137</v>
      </c>
      <c r="D87" s="8" t="s">
        <v>138</v>
      </c>
      <c r="E87" s="8" t="s">
        <v>24</v>
      </c>
      <c r="F87" s="8" t="s">
        <v>197</v>
      </c>
      <c r="G87" s="8"/>
      <c r="H87" s="8"/>
      <c r="I87" s="8"/>
      <c r="J87" s="8"/>
      <c r="K87" s="8"/>
      <c r="M87" s="4" t="s">
        <v>238</v>
      </c>
      <c r="P87" s="8">
        <f t="shared" si="1"/>
        <v>0.01576117979</v>
      </c>
    </row>
    <row r="88" ht="15.75" customHeight="1">
      <c r="A88" s="7">
        <v>125.0</v>
      </c>
      <c r="B88" s="8" t="s">
        <v>136</v>
      </c>
      <c r="C88" s="4" t="s">
        <v>137</v>
      </c>
      <c r="D88" s="8" t="s">
        <v>138</v>
      </c>
      <c r="E88" s="8" t="s">
        <v>24</v>
      </c>
      <c r="F88" s="8" t="s">
        <v>198</v>
      </c>
      <c r="G88" s="8"/>
      <c r="H88" s="8"/>
      <c r="I88" s="8"/>
      <c r="J88" s="8"/>
      <c r="K88" s="8"/>
      <c r="M88" s="4" t="s">
        <v>238</v>
      </c>
      <c r="P88" s="8">
        <f t="shared" si="1"/>
        <v>0.6732061328</v>
      </c>
    </row>
    <row r="89" ht="15.75" customHeight="1">
      <c r="A89" s="7">
        <v>126.0</v>
      </c>
      <c r="B89" s="8" t="s">
        <v>136</v>
      </c>
      <c r="C89" s="4" t="s">
        <v>137</v>
      </c>
      <c r="D89" s="8" t="s">
        <v>138</v>
      </c>
      <c r="E89" s="8" t="s">
        <v>29</v>
      </c>
      <c r="F89" s="8" t="s">
        <v>199</v>
      </c>
      <c r="G89" s="8"/>
      <c r="H89" s="8"/>
      <c r="I89" s="8"/>
      <c r="J89" s="8"/>
      <c r="K89" s="8"/>
      <c r="M89" s="4" t="s">
        <v>238</v>
      </c>
      <c r="P89" s="8">
        <f t="shared" si="1"/>
        <v>0.8417089008</v>
      </c>
    </row>
    <row r="90" ht="15.75" customHeight="1">
      <c r="A90" s="7">
        <v>127.0</v>
      </c>
      <c r="B90" s="8" t="s">
        <v>136</v>
      </c>
      <c r="C90" s="4" t="s">
        <v>137</v>
      </c>
      <c r="D90" s="8" t="s">
        <v>138</v>
      </c>
      <c r="E90" s="8" t="s">
        <v>29</v>
      </c>
      <c r="F90" s="8" t="s">
        <v>200</v>
      </c>
      <c r="G90" s="8"/>
      <c r="H90" s="8"/>
      <c r="I90" s="8"/>
      <c r="J90" s="8"/>
      <c r="K90" s="8"/>
      <c r="M90" s="4" t="s">
        <v>238</v>
      </c>
      <c r="P90" s="8">
        <f t="shared" si="1"/>
        <v>0.9439216129</v>
      </c>
    </row>
    <row r="91" ht="15.75" customHeight="1">
      <c r="A91" s="7">
        <v>128.0</v>
      </c>
      <c r="B91" s="8" t="s">
        <v>136</v>
      </c>
      <c r="C91" s="4" t="s">
        <v>137</v>
      </c>
      <c r="D91" s="8" t="s">
        <v>138</v>
      </c>
      <c r="E91" s="8" t="s">
        <v>31</v>
      </c>
      <c r="F91" s="8" t="s">
        <v>201</v>
      </c>
      <c r="G91" s="8"/>
      <c r="H91" s="8"/>
      <c r="I91" s="8"/>
      <c r="J91" s="8"/>
      <c r="K91" s="8"/>
      <c r="M91" s="4" t="s">
        <v>238</v>
      </c>
      <c r="P91" s="8">
        <f t="shared" si="1"/>
        <v>0.1327598557</v>
      </c>
    </row>
    <row r="92" ht="15.75" customHeight="1">
      <c r="A92" s="7">
        <v>143.0</v>
      </c>
      <c r="B92" s="8" t="s">
        <v>136</v>
      </c>
      <c r="C92" s="4" t="s">
        <v>137</v>
      </c>
      <c r="D92" s="8" t="s">
        <v>138</v>
      </c>
      <c r="E92" s="8" t="s">
        <v>117</v>
      </c>
      <c r="F92" s="8" t="s">
        <v>202</v>
      </c>
      <c r="G92" s="8"/>
      <c r="H92" s="8"/>
      <c r="I92" s="8"/>
      <c r="J92" s="8"/>
      <c r="K92" s="8"/>
      <c r="M92" s="4" t="s">
        <v>238</v>
      </c>
      <c r="P92" s="8">
        <f t="shared" si="1"/>
        <v>0.03963316409</v>
      </c>
    </row>
    <row r="93" ht="15.75" customHeight="1">
      <c r="A93" s="7">
        <v>147.0</v>
      </c>
      <c r="B93" s="8" t="s">
        <v>136</v>
      </c>
      <c r="C93" s="4" t="s">
        <v>137</v>
      </c>
      <c r="D93" s="8" t="s">
        <v>138</v>
      </c>
      <c r="E93" s="8" t="s">
        <v>34</v>
      </c>
      <c r="F93" s="8" t="s">
        <v>205</v>
      </c>
      <c r="G93" s="8"/>
      <c r="H93" s="8"/>
      <c r="I93" s="8"/>
      <c r="J93" s="8"/>
      <c r="K93" s="8"/>
      <c r="M93" s="4" t="s">
        <v>238</v>
      </c>
      <c r="P93" s="8">
        <f t="shared" si="1"/>
        <v>0.9980223258</v>
      </c>
    </row>
    <row r="94" ht="15.75" customHeight="1">
      <c r="A94" s="7">
        <v>3.0</v>
      </c>
      <c r="B94" s="8" t="s">
        <v>11</v>
      </c>
      <c r="C94" s="8" t="s">
        <v>12</v>
      </c>
      <c r="D94" s="8" t="s">
        <v>13</v>
      </c>
      <c r="E94" s="8" t="s">
        <v>14</v>
      </c>
      <c r="F94" s="8" t="s">
        <v>15</v>
      </c>
      <c r="G94" s="8"/>
      <c r="H94" s="8"/>
      <c r="I94" s="8"/>
      <c r="J94" s="8"/>
      <c r="K94" s="8"/>
      <c r="L94" s="4" t="s">
        <v>238</v>
      </c>
      <c r="P94" s="8">
        <f t="shared" si="1"/>
        <v>0.1067766569</v>
      </c>
    </row>
    <row r="95" ht="15.75" customHeight="1">
      <c r="A95" s="7">
        <v>9.0</v>
      </c>
      <c r="B95" s="8" t="s">
        <v>11</v>
      </c>
      <c r="C95" s="8" t="s">
        <v>12</v>
      </c>
      <c r="D95" s="8" t="s">
        <v>13</v>
      </c>
      <c r="E95" s="8" t="s">
        <v>29</v>
      </c>
      <c r="F95" s="8" t="s">
        <v>30</v>
      </c>
      <c r="G95" s="8"/>
      <c r="H95" s="8"/>
      <c r="I95" s="8"/>
      <c r="J95" s="8"/>
      <c r="K95" s="8"/>
      <c r="L95" s="4" t="s">
        <v>238</v>
      </c>
      <c r="P95" s="8">
        <f t="shared" si="1"/>
        <v>0.5307164593</v>
      </c>
    </row>
    <row r="96" ht="15.75" customHeight="1">
      <c r="A96" s="7">
        <v>10.0</v>
      </c>
      <c r="B96" s="8" t="s">
        <v>11</v>
      </c>
      <c r="C96" s="8" t="s">
        <v>12</v>
      </c>
      <c r="D96" s="8" t="s">
        <v>13</v>
      </c>
      <c r="E96" s="8" t="s">
        <v>31</v>
      </c>
      <c r="F96" s="8" t="s">
        <v>32</v>
      </c>
      <c r="G96" s="8"/>
      <c r="H96" s="8"/>
      <c r="I96" s="8"/>
      <c r="J96" s="8"/>
      <c r="K96" s="8"/>
      <c r="L96" s="4" t="s">
        <v>238</v>
      </c>
      <c r="P96" s="8">
        <f t="shared" si="1"/>
        <v>0.06776716901</v>
      </c>
    </row>
    <row r="97" ht="15.75" customHeight="1">
      <c r="A97" s="7">
        <v>11.0</v>
      </c>
      <c r="B97" s="8" t="s">
        <v>11</v>
      </c>
      <c r="C97" s="8" t="s">
        <v>12</v>
      </c>
      <c r="D97" s="8" t="s">
        <v>13</v>
      </c>
      <c r="E97" s="8" t="s">
        <v>31</v>
      </c>
      <c r="F97" s="8" t="s">
        <v>33</v>
      </c>
      <c r="G97" s="8"/>
      <c r="H97" s="8"/>
      <c r="I97" s="8"/>
      <c r="J97" s="8"/>
      <c r="K97" s="8"/>
      <c r="L97" s="4" t="s">
        <v>238</v>
      </c>
      <c r="P97" s="8">
        <f t="shared" si="1"/>
        <v>0.4400452422</v>
      </c>
    </row>
    <row r="98" ht="15.75" customHeight="1">
      <c r="A98" s="7">
        <v>12.0</v>
      </c>
      <c r="B98" s="8" t="s">
        <v>11</v>
      </c>
      <c r="C98" s="8" t="s">
        <v>12</v>
      </c>
      <c r="D98" s="8" t="s">
        <v>13</v>
      </c>
      <c r="E98" s="8" t="s">
        <v>34</v>
      </c>
      <c r="F98" s="8" t="s">
        <v>35</v>
      </c>
      <c r="G98" s="8"/>
      <c r="H98" s="8"/>
      <c r="I98" s="8"/>
      <c r="J98" s="8"/>
      <c r="K98" s="8"/>
      <c r="L98" s="4" t="s">
        <v>238</v>
      </c>
      <c r="P98" s="8">
        <f t="shared" si="1"/>
        <v>0.3041948414</v>
      </c>
    </row>
    <row r="99" ht="15.75" customHeight="1">
      <c r="A99" s="7">
        <v>14.0</v>
      </c>
      <c r="B99" s="8" t="s">
        <v>37</v>
      </c>
      <c r="C99" s="8" t="s">
        <v>38</v>
      </c>
      <c r="D99" s="8" t="s">
        <v>13</v>
      </c>
      <c r="E99" s="8" t="s">
        <v>39</v>
      </c>
      <c r="F99" s="8" t="s">
        <v>40</v>
      </c>
      <c r="G99" s="8"/>
      <c r="H99" s="8"/>
      <c r="I99" s="8"/>
      <c r="J99" s="8"/>
      <c r="K99" s="8"/>
      <c r="L99" s="4" t="s">
        <v>238</v>
      </c>
      <c r="P99" s="8">
        <f t="shared" si="1"/>
        <v>0.2495100065</v>
      </c>
    </row>
    <row r="100" ht="15.75" customHeight="1">
      <c r="A100" s="7">
        <v>16.0</v>
      </c>
      <c r="B100" s="8" t="s">
        <v>37</v>
      </c>
      <c r="C100" s="8" t="s">
        <v>38</v>
      </c>
      <c r="D100" s="8" t="s">
        <v>13</v>
      </c>
      <c r="E100" s="8" t="s">
        <v>14</v>
      </c>
      <c r="F100" s="8" t="s">
        <v>43</v>
      </c>
      <c r="G100" s="8"/>
      <c r="H100" s="8"/>
      <c r="I100" s="8"/>
      <c r="J100" s="8"/>
      <c r="K100" s="8"/>
      <c r="L100" s="4" t="s">
        <v>238</v>
      </c>
      <c r="P100" s="8">
        <f t="shared" si="1"/>
        <v>0.5387653598</v>
      </c>
    </row>
    <row r="101" ht="15.75" customHeight="1">
      <c r="A101" s="7">
        <v>18.0</v>
      </c>
      <c r="B101" s="8" t="s">
        <v>37</v>
      </c>
      <c r="C101" s="8" t="s">
        <v>38</v>
      </c>
      <c r="D101" s="8" t="s">
        <v>13</v>
      </c>
      <c r="E101" s="8" t="s">
        <v>21</v>
      </c>
      <c r="F101" s="8" t="s">
        <v>44</v>
      </c>
      <c r="G101" s="8"/>
      <c r="H101" s="8"/>
      <c r="I101" s="8"/>
      <c r="J101" s="8"/>
      <c r="K101" s="8"/>
      <c r="L101" s="4" t="s">
        <v>238</v>
      </c>
      <c r="P101" s="8">
        <f t="shared" si="1"/>
        <v>0.4710458638</v>
      </c>
    </row>
    <row r="102" ht="15.75" customHeight="1">
      <c r="A102" s="7">
        <v>22.0</v>
      </c>
      <c r="B102" s="8" t="s">
        <v>37</v>
      </c>
      <c r="C102" s="8" t="s">
        <v>38</v>
      </c>
      <c r="D102" s="8" t="s">
        <v>13</v>
      </c>
      <c r="E102" s="8" t="s">
        <v>29</v>
      </c>
      <c r="F102" s="8" t="s">
        <v>49</v>
      </c>
      <c r="G102" s="8"/>
      <c r="H102" s="8"/>
      <c r="I102" s="8"/>
      <c r="J102" s="8"/>
      <c r="K102" s="8"/>
      <c r="L102" s="4" t="s">
        <v>238</v>
      </c>
      <c r="P102" s="8">
        <f t="shared" si="1"/>
        <v>0.7316382317</v>
      </c>
    </row>
    <row r="103" ht="15.75" customHeight="1">
      <c r="A103" s="7">
        <v>24.0</v>
      </c>
      <c r="B103" s="8" t="s">
        <v>37</v>
      </c>
      <c r="C103" s="8" t="s">
        <v>38</v>
      </c>
      <c r="D103" s="8" t="s">
        <v>13</v>
      </c>
      <c r="E103" s="8" t="s">
        <v>31</v>
      </c>
      <c r="F103" s="8" t="s">
        <v>50</v>
      </c>
      <c r="G103" s="8"/>
      <c r="H103" s="8"/>
      <c r="I103" s="8"/>
      <c r="J103" s="8"/>
      <c r="K103" s="8"/>
      <c r="L103" s="4" t="s">
        <v>238</v>
      </c>
      <c r="P103" s="8">
        <f t="shared" si="1"/>
        <v>0.297710239</v>
      </c>
    </row>
    <row r="104" ht="15.75" customHeight="1">
      <c r="A104" s="7">
        <v>25.0</v>
      </c>
      <c r="B104" s="8" t="s">
        <v>37</v>
      </c>
      <c r="C104" s="8" t="s">
        <v>38</v>
      </c>
      <c r="D104" s="8" t="s">
        <v>13</v>
      </c>
      <c r="E104" s="8" t="s">
        <v>31</v>
      </c>
      <c r="F104" s="8" t="s">
        <v>51</v>
      </c>
      <c r="G104" s="8"/>
      <c r="H104" s="8"/>
      <c r="I104" s="8"/>
      <c r="J104" s="8"/>
      <c r="K104" s="8"/>
      <c r="L104" s="4" t="s">
        <v>238</v>
      </c>
      <c r="P104" s="8">
        <f t="shared" si="1"/>
        <v>0.9309578988</v>
      </c>
    </row>
    <row r="105" ht="15.75" customHeight="1">
      <c r="A105" s="7">
        <v>27.0</v>
      </c>
      <c r="B105" s="8" t="s">
        <v>37</v>
      </c>
      <c r="C105" s="8" t="s">
        <v>38</v>
      </c>
      <c r="D105" s="8" t="s">
        <v>13</v>
      </c>
      <c r="E105" s="8" t="s">
        <v>53</v>
      </c>
      <c r="F105" s="8" t="s">
        <v>55</v>
      </c>
      <c r="G105" s="8"/>
      <c r="H105" s="8"/>
      <c r="I105" s="8"/>
      <c r="J105" s="8"/>
      <c r="K105" s="8"/>
      <c r="L105" s="4" t="s">
        <v>238</v>
      </c>
      <c r="P105" s="8">
        <f t="shared" si="1"/>
        <v>0.3726389085</v>
      </c>
    </row>
    <row r="106" ht="15.75" customHeight="1">
      <c r="A106" s="7">
        <v>28.0</v>
      </c>
      <c r="B106" s="8" t="s">
        <v>37</v>
      </c>
      <c r="C106" s="8" t="s">
        <v>38</v>
      </c>
      <c r="D106" s="8" t="s">
        <v>13</v>
      </c>
      <c r="E106" s="8" t="s">
        <v>56</v>
      </c>
      <c r="F106" s="8" t="s">
        <v>57</v>
      </c>
      <c r="G106" s="8"/>
      <c r="H106" s="8"/>
      <c r="I106" s="8"/>
      <c r="J106" s="8"/>
      <c r="K106" s="8"/>
      <c r="L106" s="4" t="s">
        <v>238</v>
      </c>
      <c r="P106" s="8">
        <f t="shared" si="1"/>
        <v>0.7962203689</v>
      </c>
    </row>
    <row r="107" ht="15.75" customHeight="1">
      <c r="A107" s="7">
        <v>29.0</v>
      </c>
      <c r="B107" s="8" t="s">
        <v>37</v>
      </c>
      <c r="C107" s="8" t="s">
        <v>38</v>
      </c>
      <c r="D107" s="8" t="s">
        <v>13</v>
      </c>
      <c r="E107" s="8" t="s">
        <v>56</v>
      </c>
      <c r="F107" s="8" t="s">
        <v>58</v>
      </c>
      <c r="G107" s="8"/>
      <c r="H107" s="8"/>
      <c r="I107" s="8"/>
      <c r="J107" s="8"/>
      <c r="K107" s="8"/>
      <c r="L107" s="4" t="s">
        <v>238</v>
      </c>
      <c r="P107" s="8">
        <f t="shared" si="1"/>
        <v>0.9282658416</v>
      </c>
    </row>
    <row r="108" ht="15.75" customHeight="1">
      <c r="A108" s="7">
        <v>31.0</v>
      </c>
      <c r="B108" s="8" t="s">
        <v>37</v>
      </c>
      <c r="C108" s="8" t="s">
        <v>38</v>
      </c>
      <c r="D108" s="8" t="s">
        <v>13</v>
      </c>
      <c r="E108" s="8" t="s">
        <v>59</v>
      </c>
      <c r="F108" s="8" t="s">
        <v>60</v>
      </c>
      <c r="G108" s="8"/>
      <c r="H108" s="8"/>
      <c r="I108" s="8"/>
      <c r="J108" s="8"/>
      <c r="K108" s="8"/>
      <c r="L108" s="4" t="s">
        <v>238</v>
      </c>
      <c r="P108" s="8">
        <f t="shared" si="1"/>
        <v>0.8612139141</v>
      </c>
    </row>
    <row r="109" ht="15.75" customHeight="1">
      <c r="A109" s="7">
        <v>33.0</v>
      </c>
      <c r="B109" s="8" t="s">
        <v>37</v>
      </c>
      <c r="C109" s="8" t="s">
        <v>38</v>
      </c>
      <c r="D109" s="8" t="s">
        <v>13</v>
      </c>
      <c r="E109" s="8" t="s">
        <v>62</v>
      </c>
      <c r="F109" s="8" t="s">
        <v>64</v>
      </c>
      <c r="G109" s="8"/>
      <c r="H109" s="8"/>
      <c r="I109" s="8"/>
      <c r="J109" s="8"/>
      <c r="K109" s="8"/>
      <c r="L109" s="4" t="s">
        <v>238</v>
      </c>
      <c r="P109" s="8">
        <f t="shared" si="1"/>
        <v>0.9573381728</v>
      </c>
    </row>
    <row r="110" ht="15.75" customHeight="1">
      <c r="A110" s="7">
        <v>41.0</v>
      </c>
      <c r="B110" s="8" t="s">
        <v>65</v>
      </c>
      <c r="C110" s="8" t="s">
        <v>66</v>
      </c>
      <c r="D110" s="8" t="s">
        <v>67</v>
      </c>
      <c r="E110" s="8" t="s">
        <v>21</v>
      </c>
      <c r="F110" s="8" t="s">
        <v>69</v>
      </c>
      <c r="G110" s="8"/>
      <c r="H110" s="8"/>
      <c r="I110" s="8"/>
      <c r="J110" s="8"/>
      <c r="K110" s="8"/>
      <c r="L110" s="4" t="s">
        <v>238</v>
      </c>
      <c r="P110" s="8">
        <f t="shared" si="1"/>
        <v>0.7705427119</v>
      </c>
    </row>
    <row r="111" ht="15.75" customHeight="1">
      <c r="A111" s="7">
        <v>42.0</v>
      </c>
      <c r="B111" s="8" t="s">
        <v>65</v>
      </c>
      <c r="C111" s="8" t="s">
        <v>66</v>
      </c>
      <c r="D111" s="8" t="s">
        <v>67</v>
      </c>
      <c r="E111" s="8" t="s">
        <v>24</v>
      </c>
      <c r="F111" s="8" t="s">
        <v>70</v>
      </c>
      <c r="G111" s="8"/>
      <c r="H111" s="8"/>
      <c r="I111" s="8"/>
      <c r="J111" s="8"/>
      <c r="K111" s="8"/>
      <c r="L111" s="4" t="s">
        <v>238</v>
      </c>
      <c r="P111" s="8">
        <f t="shared" si="1"/>
        <v>0.1944824994</v>
      </c>
    </row>
    <row r="112" ht="15.75" customHeight="1">
      <c r="A112" s="7">
        <v>44.0</v>
      </c>
      <c r="B112" s="8" t="s">
        <v>65</v>
      </c>
      <c r="C112" s="8" t="s">
        <v>66</v>
      </c>
      <c r="D112" s="8" t="s">
        <v>67</v>
      </c>
      <c r="E112" s="8" t="s">
        <v>29</v>
      </c>
      <c r="F112" s="8" t="s">
        <v>72</v>
      </c>
      <c r="G112" s="8"/>
      <c r="H112" s="8"/>
      <c r="I112" s="8"/>
      <c r="J112" s="8"/>
      <c r="K112" s="8"/>
      <c r="L112" s="4" t="s">
        <v>238</v>
      </c>
      <c r="P112" s="8">
        <f t="shared" si="1"/>
        <v>0.07064087905</v>
      </c>
    </row>
    <row r="113" ht="15.75" customHeight="1">
      <c r="A113" s="7">
        <v>45.0</v>
      </c>
      <c r="B113" s="8" t="s">
        <v>65</v>
      </c>
      <c r="C113" s="8" t="s">
        <v>66</v>
      </c>
      <c r="D113" s="8" t="s">
        <v>67</v>
      </c>
      <c r="E113" s="8" t="s">
        <v>29</v>
      </c>
      <c r="F113" s="8" t="s">
        <v>73</v>
      </c>
      <c r="G113" s="8"/>
      <c r="H113" s="8"/>
      <c r="I113" s="8"/>
      <c r="J113" s="8"/>
      <c r="K113" s="8"/>
      <c r="L113" s="4" t="s">
        <v>238</v>
      </c>
      <c r="P113" s="8">
        <f t="shared" si="1"/>
        <v>0.8689044875</v>
      </c>
    </row>
    <row r="114" ht="15.75" customHeight="1">
      <c r="A114" s="7">
        <v>46.0</v>
      </c>
      <c r="B114" s="8" t="s">
        <v>65</v>
      </c>
      <c r="C114" s="8" t="s">
        <v>66</v>
      </c>
      <c r="D114" s="8" t="s">
        <v>67</v>
      </c>
      <c r="E114" s="8" t="s">
        <v>31</v>
      </c>
      <c r="F114" s="8" t="s">
        <v>74</v>
      </c>
      <c r="G114" s="8"/>
      <c r="H114" s="8"/>
      <c r="I114" s="8"/>
      <c r="J114" s="8"/>
      <c r="K114" s="8"/>
      <c r="L114" s="4" t="s">
        <v>238</v>
      </c>
      <c r="P114" s="8">
        <f t="shared" si="1"/>
        <v>0.2692439069</v>
      </c>
    </row>
    <row r="115" ht="15.75" customHeight="1">
      <c r="A115" s="7">
        <v>49.0</v>
      </c>
      <c r="B115" s="8" t="s">
        <v>65</v>
      </c>
      <c r="C115" s="8" t="s">
        <v>66</v>
      </c>
      <c r="D115" s="8" t="s">
        <v>67</v>
      </c>
      <c r="E115" s="8" t="s">
        <v>53</v>
      </c>
      <c r="F115" s="8" t="s">
        <v>75</v>
      </c>
      <c r="G115" s="8"/>
      <c r="H115" s="8"/>
      <c r="I115" s="8"/>
      <c r="J115" s="8"/>
      <c r="K115" s="8"/>
      <c r="L115" s="4" t="s">
        <v>238</v>
      </c>
      <c r="P115" s="8">
        <f t="shared" si="1"/>
        <v>0.06249402845</v>
      </c>
    </row>
    <row r="116" ht="15.75" customHeight="1">
      <c r="A116" s="7">
        <v>50.0</v>
      </c>
      <c r="B116" s="8" t="s">
        <v>65</v>
      </c>
      <c r="C116" s="8" t="s">
        <v>66</v>
      </c>
      <c r="D116" s="8" t="s">
        <v>67</v>
      </c>
      <c r="E116" s="8" t="s">
        <v>56</v>
      </c>
      <c r="F116" s="8" t="s">
        <v>76</v>
      </c>
      <c r="G116" s="8"/>
      <c r="H116" s="8"/>
      <c r="I116" s="8"/>
      <c r="J116" s="8"/>
      <c r="K116" s="8"/>
      <c r="L116" s="4" t="s">
        <v>238</v>
      </c>
      <c r="P116" s="8">
        <f t="shared" si="1"/>
        <v>0.09590828216</v>
      </c>
    </row>
    <row r="117" ht="15.75" customHeight="1">
      <c r="A117" s="7">
        <v>51.0</v>
      </c>
      <c r="B117" s="8" t="s">
        <v>65</v>
      </c>
      <c r="C117" s="8" t="s">
        <v>66</v>
      </c>
      <c r="D117" s="8" t="s">
        <v>67</v>
      </c>
      <c r="E117" s="8" t="s">
        <v>56</v>
      </c>
      <c r="F117" s="8" t="s">
        <v>78</v>
      </c>
      <c r="G117" s="8"/>
      <c r="H117" s="8"/>
      <c r="I117" s="8"/>
      <c r="J117" s="8"/>
      <c r="K117" s="8"/>
      <c r="L117" s="4" t="s">
        <v>238</v>
      </c>
      <c r="P117" s="8">
        <f t="shared" si="1"/>
        <v>0.7517304443</v>
      </c>
    </row>
    <row r="118" ht="15.75" customHeight="1">
      <c r="A118" s="7">
        <v>55.0</v>
      </c>
      <c r="B118" s="8" t="s">
        <v>65</v>
      </c>
      <c r="C118" s="8" t="s">
        <v>66</v>
      </c>
      <c r="D118" s="8" t="s">
        <v>67</v>
      </c>
      <c r="E118" s="8" t="s">
        <v>62</v>
      </c>
      <c r="F118" s="8" t="s">
        <v>81</v>
      </c>
      <c r="G118" s="8"/>
      <c r="H118" s="8"/>
      <c r="I118" s="8"/>
      <c r="J118" s="8"/>
      <c r="K118" s="8"/>
      <c r="L118" s="4" t="s">
        <v>238</v>
      </c>
      <c r="P118" s="8">
        <f t="shared" si="1"/>
        <v>0.1204569407</v>
      </c>
    </row>
    <row r="119" ht="15.75" customHeight="1">
      <c r="A119" s="7">
        <v>62.0</v>
      </c>
      <c r="B119" s="8" t="s">
        <v>65</v>
      </c>
      <c r="C119" s="8" t="s">
        <v>66</v>
      </c>
      <c r="D119" s="8" t="s">
        <v>67</v>
      </c>
      <c r="E119" s="8" t="s">
        <v>82</v>
      </c>
      <c r="F119" s="8" t="s">
        <v>83</v>
      </c>
      <c r="G119" s="8"/>
      <c r="H119" s="8"/>
      <c r="I119" s="8"/>
      <c r="J119" s="8"/>
      <c r="K119" s="8"/>
      <c r="L119" s="4" t="s">
        <v>238</v>
      </c>
      <c r="P119" s="8">
        <f t="shared" si="1"/>
        <v>0.5947767391</v>
      </c>
    </row>
    <row r="120" ht="15.75" customHeight="1">
      <c r="A120" s="7">
        <v>65.0</v>
      </c>
      <c r="B120" s="8" t="s">
        <v>65</v>
      </c>
      <c r="C120" s="8" t="s">
        <v>66</v>
      </c>
      <c r="D120" s="8" t="s">
        <v>67</v>
      </c>
      <c r="E120" s="8" t="s">
        <v>85</v>
      </c>
      <c r="F120" s="8" t="s">
        <v>87</v>
      </c>
      <c r="G120" s="8"/>
      <c r="H120" s="8"/>
      <c r="I120" s="8"/>
      <c r="J120" s="8"/>
      <c r="K120" s="8"/>
      <c r="L120" s="4" t="s">
        <v>238</v>
      </c>
      <c r="P120" s="8">
        <f t="shared" si="1"/>
        <v>0.350494599</v>
      </c>
    </row>
    <row r="121" ht="15.75" customHeight="1">
      <c r="A121" s="7">
        <v>66.0</v>
      </c>
      <c r="B121" s="8" t="s">
        <v>65</v>
      </c>
      <c r="C121" s="8" t="s">
        <v>66</v>
      </c>
      <c r="D121" s="8" t="s">
        <v>67</v>
      </c>
      <c r="E121" s="8" t="s">
        <v>88</v>
      </c>
      <c r="F121" s="8" t="s">
        <v>89</v>
      </c>
      <c r="G121" s="8"/>
      <c r="H121" s="8"/>
      <c r="I121" s="8"/>
      <c r="J121" s="8"/>
      <c r="K121" s="8"/>
      <c r="L121" s="4" t="s">
        <v>238</v>
      </c>
      <c r="P121" s="8">
        <f t="shared" si="1"/>
        <v>0.9041450348</v>
      </c>
    </row>
    <row r="122" ht="15.75" customHeight="1">
      <c r="A122" s="7">
        <v>68.0</v>
      </c>
      <c r="B122" s="8" t="s">
        <v>65</v>
      </c>
      <c r="C122" s="8" t="s">
        <v>66</v>
      </c>
      <c r="D122" s="8" t="s">
        <v>67</v>
      </c>
      <c r="E122" s="8" t="s">
        <v>90</v>
      </c>
      <c r="F122" s="8" t="s">
        <v>91</v>
      </c>
      <c r="G122" s="8"/>
      <c r="H122" s="8"/>
      <c r="I122" s="8"/>
      <c r="J122" s="8"/>
      <c r="K122" s="8"/>
      <c r="L122" s="4" t="s">
        <v>238</v>
      </c>
      <c r="P122" s="8">
        <f t="shared" si="1"/>
        <v>0.003494207537</v>
      </c>
    </row>
    <row r="123" ht="15.75" customHeight="1">
      <c r="A123" s="7">
        <v>69.0</v>
      </c>
      <c r="B123" s="8" t="s">
        <v>65</v>
      </c>
      <c r="C123" s="8" t="s">
        <v>66</v>
      </c>
      <c r="D123" s="8" t="s">
        <v>67</v>
      </c>
      <c r="E123" s="8" t="s">
        <v>90</v>
      </c>
      <c r="F123" s="8" t="s">
        <v>92</v>
      </c>
      <c r="G123" s="8"/>
      <c r="H123" s="8"/>
      <c r="I123" s="8"/>
      <c r="J123" s="8"/>
      <c r="K123" s="8"/>
      <c r="L123" s="4" t="s">
        <v>238</v>
      </c>
      <c r="P123" s="8">
        <f t="shared" si="1"/>
        <v>0.7941242593</v>
      </c>
    </row>
    <row r="124" ht="15.75" customHeight="1">
      <c r="A124" s="7">
        <v>70.0</v>
      </c>
      <c r="B124" s="8" t="s">
        <v>65</v>
      </c>
      <c r="C124" s="8" t="s">
        <v>66</v>
      </c>
      <c r="D124" s="8" t="s">
        <v>67</v>
      </c>
      <c r="E124" s="8" t="s">
        <v>93</v>
      </c>
      <c r="F124" s="8" t="s">
        <v>94</v>
      </c>
      <c r="G124" s="8"/>
      <c r="H124" s="8"/>
      <c r="I124" s="8"/>
      <c r="J124" s="8"/>
      <c r="K124" s="8"/>
      <c r="L124" s="4" t="s">
        <v>238</v>
      </c>
      <c r="P124" s="8">
        <f t="shared" si="1"/>
        <v>0.2177057345</v>
      </c>
    </row>
    <row r="125" ht="15.75" customHeight="1">
      <c r="A125" s="7">
        <v>73.0</v>
      </c>
      <c r="B125" s="8" t="s">
        <v>65</v>
      </c>
      <c r="C125" s="8" t="s">
        <v>66</v>
      </c>
      <c r="D125" s="8" t="s">
        <v>67</v>
      </c>
      <c r="E125" s="8" t="s">
        <v>34</v>
      </c>
      <c r="F125" s="8" t="s">
        <v>95</v>
      </c>
      <c r="G125" s="8"/>
      <c r="H125" s="8"/>
      <c r="I125" s="8"/>
      <c r="J125" s="8"/>
      <c r="K125" s="8"/>
      <c r="L125" s="4" t="s">
        <v>238</v>
      </c>
      <c r="P125" s="8">
        <f t="shared" si="1"/>
        <v>0.6258051988</v>
      </c>
    </row>
    <row r="126" ht="15.75" customHeight="1">
      <c r="A126" s="7">
        <v>81.0</v>
      </c>
      <c r="B126" s="8" t="s">
        <v>96</v>
      </c>
      <c r="C126" s="8" t="s">
        <v>97</v>
      </c>
      <c r="D126" s="8" t="s">
        <v>98</v>
      </c>
      <c r="E126" s="8" t="s">
        <v>24</v>
      </c>
      <c r="F126" s="8" t="s">
        <v>101</v>
      </c>
      <c r="G126" s="8"/>
      <c r="H126" s="8"/>
      <c r="I126" s="8"/>
      <c r="J126" s="8"/>
      <c r="K126" s="8"/>
      <c r="L126" s="4" t="s">
        <v>238</v>
      </c>
      <c r="P126" s="8">
        <f t="shared" si="1"/>
        <v>0.9150605372</v>
      </c>
    </row>
    <row r="127" ht="15.75" customHeight="1">
      <c r="A127" s="7">
        <v>82.0</v>
      </c>
      <c r="B127" s="8" t="s">
        <v>96</v>
      </c>
      <c r="C127" s="8" t="s">
        <v>97</v>
      </c>
      <c r="D127" s="8" t="s">
        <v>98</v>
      </c>
      <c r="E127" s="8" t="s">
        <v>29</v>
      </c>
      <c r="F127" s="8" t="s">
        <v>102</v>
      </c>
      <c r="G127" s="8"/>
      <c r="H127" s="8"/>
      <c r="I127" s="8"/>
      <c r="J127" s="8"/>
      <c r="K127" s="8"/>
      <c r="L127" s="4" t="s">
        <v>238</v>
      </c>
      <c r="P127" s="8">
        <f t="shared" si="1"/>
        <v>0.3845567271</v>
      </c>
    </row>
    <row r="128" ht="15.75" customHeight="1">
      <c r="A128" s="7">
        <v>84.0</v>
      </c>
      <c r="B128" s="8" t="s">
        <v>96</v>
      </c>
      <c r="C128" s="8" t="s">
        <v>97</v>
      </c>
      <c r="D128" s="8" t="s">
        <v>98</v>
      </c>
      <c r="E128" s="8" t="s">
        <v>31</v>
      </c>
      <c r="F128" s="8" t="s">
        <v>104</v>
      </c>
      <c r="G128" s="8"/>
      <c r="H128" s="8"/>
      <c r="I128" s="8"/>
      <c r="J128" s="8"/>
      <c r="K128" s="8"/>
      <c r="L128" s="4" t="s">
        <v>238</v>
      </c>
      <c r="P128" s="8">
        <f t="shared" si="1"/>
        <v>0.3441126314</v>
      </c>
    </row>
    <row r="129" ht="15.75" customHeight="1">
      <c r="A129" s="7">
        <v>85.0</v>
      </c>
      <c r="B129" s="8" t="s">
        <v>96</v>
      </c>
      <c r="C129" s="8" t="s">
        <v>97</v>
      </c>
      <c r="D129" s="8" t="s">
        <v>98</v>
      </c>
      <c r="E129" s="8" t="s">
        <v>31</v>
      </c>
      <c r="F129" s="8" t="s">
        <v>105</v>
      </c>
      <c r="G129" s="8"/>
      <c r="H129" s="8"/>
      <c r="I129" s="8"/>
      <c r="J129" s="8"/>
      <c r="K129" s="8"/>
      <c r="L129" s="4" t="s">
        <v>238</v>
      </c>
      <c r="P129" s="8">
        <f t="shared" si="1"/>
        <v>0.2105044631</v>
      </c>
    </row>
    <row r="130" ht="15.75" customHeight="1">
      <c r="A130" s="7">
        <v>86.0</v>
      </c>
      <c r="B130" s="8" t="s">
        <v>96</v>
      </c>
      <c r="C130" s="8" t="s">
        <v>97</v>
      </c>
      <c r="D130" s="8" t="s">
        <v>98</v>
      </c>
      <c r="E130" s="8" t="s">
        <v>53</v>
      </c>
      <c r="F130" s="8" t="s">
        <v>106</v>
      </c>
      <c r="G130" s="8"/>
      <c r="H130" s="8"/>
      <c r="I130" s="8"/>
      <c r="J130" s="8"/>
      <c r="K130" s="8"/>
      <c r="L130" s="4" t="s">
        <v>238</v>
      </c>
      <c r="P130" s="8">
        <f t="shared" si="1"/>
        <v>0.3072530911</v>
      </c>
    </row>
    <row r="131" ht="15.75" customHeight="1">
      <c r="A131" s="7">
        <v>87.0</v>
      </c>
      <c r="B131" s="8" t="s">
        <v>96</v>
      </c>
      <c r="C131" s="8" t="s">
        <v>97</v>
      </c>
      <c r="D131" s="8" t="s">
        <v>98</v>
      </c>
      <c r="E131" s="8" t="s">
        <v>53</v>
      </c>
      <c r="F131" s="8" t="s">
        <v>107</v>
      </c>
      <c r="G131" s="8"/>
      <c r="H131" s="8"/>
      <c r="I131" s="8"/>
      <c r="J131" s="8"/>
      <c r="K131" s="8"/>
      <c r="L131" s="4" t="s">
        <v>238</v>
      </c>
      <c r="P131" s="8">
        <f t="shared" si="1"/>
        <v>0.1669713174</v>
      </c>
    </row>
    <row r="132" ht="15.75" customHeight="1">
      <c r="A132" s="7">
        <v>90.0</v>
      </c>
      <c r="B132" s="8" t="s">
        <v>96</v>
      </c>
      <c r="C132" s="8" t="s">
        <v>97</v>
      </c>
      <c r="D132" s="8" t="s">
        <v>98</v>
      </c>
      <c r="E132" s="8" t="s">
        <v>59</v>
      </c>
      <c r="F132" s="8" t="s">
        <v>108</v>
      </c>
      <c r="G132" s="8"/>
      <c r="H132" s="8"/>
      <c r="I132" s="8"/>
      <c r="J132" s="8"/>
      <c r="K132" s="8"/>
      <c r="L132" s="4" t="s">
        <v>238</v>
      </c>
      <c r="P132" s="8">
        <f t="shared" si="1"/>
        <v>0.6179999594</v>
      </c>
    </row>
    <row r="133" ht="15.75" customHeight="1">
      <c r="A133" s="7">
        <v>94.0</v>
      </c>
      <c r="B133" s="8" t="s">
        <v>96</v>
      </c>
      <c r="C133" s="8" t="s">
        <v>97</v>
      </c>
      <c r="D133" s="8" t="s">
        <v>98</v>
      </c>
      <c r="E133" s="8" t="s">
        <v>111</v>
      </c>
      <c r="F133" s="8" t="s">
        <v>112</v>
      </c>
      <c r="G133" s="8"/>
      <c r="H133" s="8"/>
      <c r="I133" s="8"/>
      <c r="J133" s="8"/>
      <c r="K133" s="8"/>
      <c r="L133" s="4" t="s">
        <v>238</v>
      </c>
      <c r="P133" s="8">
        <f t="shared" si="1"/>
        <v>0.3733595071</v>
      </c>
    </row>
    <row r="134" ht="15.75" customHeight="1">
      <c r="A134" s="7">
        <v>97.0</v>
      </c>
      <c r="B134" s="8" t="s">
        <v>96</v>
      </c>
      <c r="C134" s="8" t="s">
        <v>97</v>
      </c>
      <c r="D134" s="8" t="s">
        <v>98</v>
      </c>
      <c r="E134" s="8" t="s">
        <v>114</v>
      </c>
      <c r="F134" s="8" t="s">
        <v>116</v>
      </c>
      <c r="G134" s="8"/>
      <c r="H134" s="8"/>
      <c r="I134" s="8"/>
      <c r="J134" s="8"/>
      <c r="K134" s="8"/>
      <c r="L134" s="4" t="s">
        <v>238</v>
      </c>
      <c r="P134" s="8">
        <f t="shared" si="1"/>
        <v>0.702343078</v>
      </c>
    </row>
    <row r="135" ht="15.75" customHeight="1">
      <c r="A135" s="7">
        <v>98.0</v>
      </c>
      <c r="B135" s="8" t="s">
        <v>96</v>
      </c>
      <c r="C135" s="8" t="s">
        <v>97</v>
      </c>
      <c r="D135" s="8" t="s">
        <v>98</v>
      </c>
      <c r="E135" s="8" t="s">
        <v>117</v>
      </c>
      <c r="F135" s="8" t="s">
        <v>118</v>
      </c>
      <c r="G135" s="8"/>
      <c r="H135" s="8"/>
      <c r="I135" s="8"/>
      <c r="J135" s="8"/>
      <c r="K135" s="8"/>
      <c r="L135" s="4" t="s">
        <v>238</v>
      </c>
      <c r="P135" s="8">
        <f t="shared" si="1"/>
        <v>0.3343500192</v>
      </c>
    </row>
    <row r="136" ht="15.75" customHeight="1">
      <c r="A136" s="7">
        <v>99.0</v>
      </c>
      <c r="B136" s="8" t="s">
        <v>96</v>
      </c>
      <c r="C136" s="8" t="s">
        <v>97</v>
      </c>
      <c r="D136" s="8" t="s">
        <v>98</v>
      </c>
      <c r="E136" s="8" t="s">
        <v>117</v>
      </c>
      <c r="F136" s="8" t="s">
        <v>119</v>
      </c>
      <c r="G136" s="8"/>
      <c r="H136" s="8"/>
      <c r="I136" s="8"/>
      <c r="J136" s="8"/>
      <c r="K136" s="8"/>
      <c r="L136" s="4" t="s">
        <v>238</v>
      </c>
      <c r="P136" s="8">
        <f t="shared" si="1"/>
        <v>0.6152551318</v>
      </c>
    </row>
    <row r="137" ht="15.75" customHeight="1">
      <c r="A137" s="7">
        <v>101.0</v>
      </c>
      <c r="B137" s="8" t="s">
        <v>96</v>
      </c>
      <c r="C137" s="8" t="s">
        <v>97</v>
      </c>
      <c r="D137" s="8" t="s">
        <v>98</v>
      </c>
      <c r="E137" s="8" t="s">
        <v>82</v>
      </c>
      <c r="F137" s="8" t="s">
        <v>122</v>
      </c>
      <c r="G137" s="8"/>
      <c r="H137" s="8"/>
      <c r="I137" s="8"/>
      <c r="J137" s="8"/>
      <c r="K137" s="8"/>
      <c r="L137" s="4" t="s">
        <v>238</v>
      </c>
      <c r="P137" s="8">
        <f t="shared" si="1"/>
        <v>0.01841205241</v>
      </c>
    </row>
    <row r="138" ht="15.75" customHeight="1">
      <c r="A138" s="7">
        <v>102.0</v>
      </c>
      <c r="B138" s="8" t="s">
        <v>96</v>
      </c>
      <c r="C138" s="8" t="s">
        <v>97</v>
      </c>
      <c r="D138" s="8" t="s">
        <v>98</v>
      </c>
      <c r="E138" s="8" t="s">
        <v>85</v>
      </c>
      <c r="F138" s="8" t="s">
        <v>123</v>
      </c>
      <c r="G138" s="8"/>
      <c r="H138" s="8"/>
      <c r="I138" s="8"/>
      <c r="J138" s="8"/>
      <c r="K138" s="8"/>
      <c r="L138" s="4" t="s">
        <v>238</v>
      </c>
      <c r="P138" s="8">
        <f t="shared" si="1"/>
        <v>0.7741298974</v>
      </c>
    </row>
    <row r="139" ht="15.75" customHeight="1">
      <c r="A139" s="7">
        <v>103.0</v>
      </c>
      <c r="B139" s="8" t="s">
        <v>96</v>
      </c>
      <c r="C139" s="8" t="s">
        <v>97</v>
      </c>
      <c r="D139" s="8" t="s">
        <v>98</v>
      </c>
      <c r="E139" s="8" t="s">
        <v>85</v>
      </c>
      <c r="F139" s="8" t="s">
        <v>124</v>
      </c>
      <c r="G139" s="8"/>
      <c r="H139" s="8"/>
      <c r="I139" s="8"/>
      <c r="J139" s="8"/>
      <c r="K139" s="8"/>
      <c r="L139" s="4" t="s">
        <v>238</v>
      </c>
      <c r="P139" s="8">
        <f t="shared" si="1"/>
        <v>0.7136169223</v>
      </c>
    </row>
    <row r="140" ht="15.75" customHeight="1">
      <c r="A140" s="7">
        <v>105.0</v>
      </c>
      <c r="B140" s="8" t="s">
        <v>96</v>
      </c>
      <c r="C140" s="8" t="s">
        <v>97</v>
      </c>
      <c r="D140" s="8" t="s">
        <v>98</v>
      </c>
      <c r="E140" s="8" t="s">
        <v>34</v>
      </c>
      <c r="F140" s="8" t="s">
        <v>125</v>
      </c>
      <c r="G140" s="8"/>
      <c r="H140" s="8"/>
      <c r="I140" s="8"/>
      <c r="J140" s="8"/>
      <c r="K140" s="8"/>
      <c r="L140" s="4" t="s">
        <v>238</v>
      </c>
      <c r="P140" s="8">
        <f t="shared" si="1"/>
        <v>0.7379870262</v>
      </c>
    </row>
    <row r="141" ht="15.75" customHeight="1">
      <c r="A141" s="7">
        <v>107.0</v>
      </c>
      <c r="B141" s="8" t="s">
        <v>126</v>
      </c>
      <c r="C141" s="8" t="s">
        <v>127</v>
      </c>
      <c r="D141" s="8" t="s">
        <v>128</v>
      </c>
      <c r="E141" s="8" t="s">
        <v>39</v>
      </c>
      <c r="F141" s="8" t="s">
        <v>129</v>
      </c>
      <c r="G141" s="8"/>
      <c r="H141" s="8"/>
      <c r="I141" s="8"/>
      <c r="J141" s="8"/>
      <c r="K141" s="8"/>
      <c r="L141" s="4" t="s">
        <v>238</v>
      </c>
      <c r="P141" s="8">
        <f t="shared" si="1"/>
        <v>0.1648851768</v>
      </c>
    </row>
    <row r="142" ht="15.75" customHeight="1">
      <c r="A142" s="7">
        <v>114.0</v>
      </c>
      <c r="B142" s="8" t="s">
        <v>126</v>
      </c>
      <c r="C142" s="8" t="s">
        <v>127</v>
      </c>
      <c r="D142" s="8" t="s">
        <v>128</v>
      </c>
      <c r="E142" s="8" t="s">
        <v>29</v>
      </c>
      <c r="F142" s="8" t="s">
        <v>132</v>
      </c>
      <c r="G142" s="8"/>
      <c r="H142" s="8"/>
      <c r="I142" s="8"/>
      <c r="J142" s="8"/>
      <c r="K142" s="8"/>
      <c r="L142" s="4" t="s">
        <v>238</v>
      </c>
      <c r="P142" s="8">
        <f t="shared" si="1"/>
        <v>0.008702506215</v>
      </c>
    </row>
    <row r="143" ht="15.75" customHeight="1">
      <c r="A143" s="7">
        <v>116.0</v>
      </c>
      <c r="B143" s="8" t="s">
        <v>126</v>
      </c>
      <c r="C143" s="8" t="s">
        <v>127</v>
      </c>
      <c r="D143" s="8" t="s">
        <v>128</v>
      </c>
      <c r="E143" s="8" t="s">
        <v>34</v>
      </c>
      <c r="F143" s="8" t="s">
        <v>134</v>
      </c>
      <c r="G143" s="8"/>
      <c r="H143" s="8"/>
      <c r="I143" s="8"/>
      <c r="J143" s="8"/>
      <c r="K143" s="8"/>
      <c r="L143" s="4" t="s">
        <v>238</v>
      </c>
      <c r="P143" s="8">
        <f t="shared" si="1"/>
        <v>0.1058094614</v>
      </c>
    </row>
    <row r="144" ht="15.75" customHeight="1">
      <c r="A144" s="7">
        <v>117.0</v>
      </c>
      <c r="B144" s="8" t="s">
        <v>126</v>
      </c>
      <c r="C144" s="8" t="s">
        <v>127</v>
      </c>
      <c r="D144" s="8" t="s">
        <v>128</v>
      </c>
      <c r="E144" s="8" t="s">
        <v>34</v>
      </c>
      <c r="F144" s="8" t="s">
        <v>135</v>
      </c>
      <c r="G144" s="8"/>
      <c r="H144" s="8"/>
      <c r="I144" s="8"/>
      <c r="J144" s="8"/>
      <c r="K144" s="8"/>
      <c r="L144" s="4" t="s">
        <v>238</v>
      </c>
      <c r="P144" s="8">
        <f t="shared" si="1"/>
        <v>0.9651693606</v>
      </c>
    </row>
    <row r="145" ht="15.75" customHeight="1">
      <c r="A145" s="7">
        <v>118.0</v>
      </c>
      <c r="B145" s="8" t="s">
        <v>136</v>
      </c>
      <c r="C145" s="4" t="s">
        <v>137</v>
      </c>
      <c r="D145" s="8" t="s">
        <v>138</v>
      </c>
      <c r="E145" s="8" t="s">
        <v>39</v>
      </c>
      <c r="F145" s="8" t="s">
        <v>139</v>
      </c>
      <c r="G145" s="8"/>
      <c r="H145" s="8"/>
      <c r="I145" s="8"/>
      <c r="J145" s="8"/>
      <c r="K145" s="8"/>
      <c r="L145" s="4" t="s">
        <v>238</v>
      </c>
      <c r="P145" s="8">
        <f t="shared" si="1"/>
        <v>0.9710719314</v>
      </c>
    </row>
    <row r="146" ht="15.75" customHeight="1">
      <c r="A146" s="7">
        <v>120.0</v>
      </c>
      <c r="B146" s="8" t="s">
        <v>136</v>
      </c>
      <c r="C146" s="4" t="s">
        <v>137</v>
      </c>
      <c r="D146" s="8" t="s">
        <v>138</v>
      </c>
      <c r="E146" s="8" t="s">
        <v>14</v>
      </c>
      <c r="F146" s="8" t="s">
        <v>140</v>
      </c>
      <c r="G146" s="8"/>
      <c r="H146" s="8"/>
      <c r="I146" s="8"/>
      <c r="J146" s="8"/>
      <c r="K146" s="8"/>
      <c r="L146" s="4" t="s">
        <v>238</v>
      </c>
      <c r="P146" s="8">
        <f t="shared" si="1"/>
        <v>0.1715575503</v>
      </c>
    </row>
    <row r="147" ht="15.75" customHeight="1">
      <c r="A147" s="7">
        <v>122.0</v>
      </c>
      <c r="B147" s="8" t="s">
        <v>136</v>
      </c>
      <c r="C147" s="4" t="s">
        <v>137</v>
      </c>
      <c r="D147" s="8" t="s">
        <v>138</v>
      </c>
      <c r="E147" s="8" t="s">
        <v>21</v>
      </c>
      <c r="F147" s="8" t="s">
        <v>141</v>
      </c>
      <c r="G147" s="8"/>
      <c r="H147" s="8"/>
      <c r="I147" s="8"/>
      <c r="J147" s="8"/>
      <c r="K147" s="8"/>
      <c r="L147" s="4" t="s">
        <v>238</v>
      </c>
      <c r="P147" s="8">
        <f t="shared" si="1"/>
        <v>0.5926307359</v>
      </c>
    </row>
    <row r="148" ht="15.75" customHeight="1">
      <c r="A148" s="7">
        <v>123.0</v>
      </c>
      <c r="B148" s="8" t="s">
        <v>136</v>
      </c>
      <c r="C148" s="4" t="s">
        <v>137</v>
      </c>
      <c r="D148" s="8" t="s">
        <v>138</v>
      </c>
      <c r="E148" s="8" t="s">
        <v>21</v>
      </c>
      <c r="F148" s="8" t="s">
        <v>142</v>
      </c>
      <c r="G148" s="8"/>
      <c r="H148" s="8"/>
      <c r="I148" s="8"/>
      <c r="J148" s="8"/>
      <c r="K148" s="8"/>
      <c r="L148" s="4" t="s">
        <v>238</v>
      </c>
      <c r="P148" s="8">
        <f t="shared" si="1"/>
        <v>0.3909434301</v>
      </c>
    </row>
    <row r="149" ht="15.75" customHeight="1">
      <c r="A149" s="7">
        <v>134.0</v>
      </c>
      <c r="B149" s="8" t="s">
        <v>136</v>
      </c>
      <c r="C149" s="4" t="s">
        <v>137</v>
      </c>
      <c r="D149" s="8" t="s">
        <v>138</v>
      </c>
      <c r="E149" s="8" t="s">
        <v>59</v>
      </c>
      <c r="F149" s="8" t="s">
        <v>144</v>
      </c>
      <c r="G149" s="8"/>
      <c r="H149" s="8"/>
      <c r="I149" s="8"/>
      <c r="J149" s="8"/>
      <c r="K149" s="8"/>
      <c r="L149" s="4" t="s">
        <v>238</v>
      </c>
      <c r="P149" s="8">
        <f t="shared" si="1"/>
        <v>0.1379009847</v>
      </c>
    </row>
    <row r="150" ht="15.75" customHeight="1">
      <c r="A150" s="7">
        <v>135.0</v>
      </c>
      <c r="B150" s="8" t="s">
        <v>136</v>
      </c>
      <c r="C150" s="4" t="s">
        <v>137</v>
      </c>
      <c r="D150" s="8" t="s">
        <v>138</v>
      </c>
      <c r="E150" s="8" t="s">
        <v>59</v>
      </c>
      <c r="F150" s="8" t="s">
        <v>145</v>
      </c>
      <c r="G150" s="8"/>
      <c r="H150" s="8"/>
      <c r="I150" s="8"/>
      <c r="J150" s="8"/>
      <c r="K150" s="8"/>
      <c r="L150" s="4" t="s">
        <v>238</v>
      </c>
      <c r="P150" s="8">
        <f t="shared" si="1"/>
        <v>0.3718423366</v>
      </c>
    </row>
    <row r="151" ht="15.75" customHeight="1">
      <c r="A151" s="7">
        <v>138.0</v>
      </c>
      <c r="B151" s="8" t="s">
        <v>136</v>
      </c>
      <c r="C151" s="4" t="s">
        <v>137</v>
      </c>
      <c r="D151" s="8" t="s">
        <v>138</v>
      </c>
      <c r="E151" s="8" t="s">
        <v>111</v>
      </c>
      <c r="F151" s="8" t="s">
        <v>148</v>
      </c>
      <c r="G151" s="8"/>
      <c r="H151" s="8"/>
      <c r="I151" s="8"/>
      <c r="J151" s="8"/>
      <c r="K151" s="8"/>
      <c r="L151" s="4" t="s">
        <v>238</v>
      </c>
      <c r="P151" s="8">
        <f t="shared" si="1"/>
        <v>0.5726862825</v>
      </c>
    </row>
    <row r="152" ht="15.75" customHeight="1">
      <c r="A152" s="7">
        <v>139.0</v>
      </c>
      <c r="B152" s="8" t="s">
        <v>136</v>
      </c>
      <c r="C152" s="4" t="s">
        <v>137</v>
      </c>
      <c r="D152" s="8" t="s">
        <v>138</v>
      </c>
      <c r="E152" s="8" t="s">
        <v>111</v>
      </c>
      <c r="F152" s="8" t="s">
        <v>149</v>
      </c>
      <c r="G152" s="8"/>
      <c r="H152" s="8"/>
      <c r="I152" s="8"/>
      <c r="J152" s="8"/>
      <c r="K152" s="8"/>
      <c r="L152" s="4" t="s">
        <v>238</v>
      </c>
      <c r="P152" s="8">
        <f t="shared" si="1"/>
        <v>0.5118149655</v>
      </c>
    </row>
    <row r="153" ht="15.75" customHeight="1">
      <c r="A153" s="7">
        <v>140.0</v>
      </c>
      <c r="B153" s="8" t="s">
        <v>136</v>
      </c>
      <c r="C153" s="4" t="s">
        <v>137</v>
      </c>
      <c r="D153" s="8" t="s">
        <v>138</v>
      </c>
      <c r="E153" s="8" t="s">
        <v>114</v>
      </c>
      <c r="F153" s="8" t="s">
        <v>151</v>
      </c>
      <c r="G153" s="8"/>
      <c r="H153" s="8"/>
      <c r="I153" s="8"/>
      <c r="J153" s="8"/>
      <c r="K153" s="8"/>
      <c r="L153" s="4" t="s">
        <v>238</v>
      </c>
      <c r="P153" s="8">
        <f t="shared" si="1"/>
        <v>0.5329601405</v>
      </c>
    </row>
    <row r="154" ht="15.75" customHeight="1">
      <c r="A154" s="7">
        <v>141.0</v>
      </c>
      <c r="B154" s="8" t="s">
        <v>136</v>
      </c>
      <c r="C154" s="4" t="s">
        <v>137</v>
      </c>
      <c r="D154" s="8" t="s">
        <v>138</v>
      </c>
      <c r="E154" s="8" t="s">
        <v>114</v>
      </c>
      <c r="F154" s="8" t="s">
        <v>152</v>
      </c>
      <c r="G154" s="8"/>
      <c r="H154" s="8"/>
      <c r="I154" s="8"/>
      <c r="J154" s="8"/>
      <c r="K154" s="8"/>
      <c r="L154" s="4" t="s">
        <v>238</v>
      </c>
      <c r="P154" s="8">
        <f t="shared" si="1"/>
        <v>0.9630832199</v>
      </c>
    </row>
    <row r="155" ht="15.75" customHeight="1">
      <c r="A155" s="7">
        <v>142.0</v>
      </c>
      <c r="B155" s="8" t="s">
        <v>136</v>
      </c>
      <c r="C155" s="4" t="s">
        <v>137</v>
      </c>
      <c r="D155" s="8" t="s">
        <v>138</v>
      </c>
      <c r="E155" s="8" t="s">
        <v>117</v>
      </c>
      <c r="F155" s="8" t="s">
        <v>153</v>
      </c>
      <c r="G155" s="8"/>
      <c r="H155" s="8"/>
      <c r="I155" s="8"/>
      <c r="J155" s="8"/>
      <c r="K155" s="8"/>
      <c r="L155" s="4" t="s">
        <v>238</v>
      </c>
      <c r="P155" s="8">
        <f t="shared" si="1"/>
        <v>0.3624911175</v>
      </c>
    </row>
    <row r="156" ht="15.75" customHeight="1">
      <c r="A156" s="7">
        <v>146.0</v>
      </c>
      <c r="B156" s="8" t="s">
        <v>136</v>
      </c>
      <c r="C156" s="4" t="s">
        <v>137</v>
      </c>
      <c r="D156" s="8" t="s">
        <v>138</v>
      </c>
      <c r="E156" s="8" t="s">
        <v>34</v>
      </c>
      <c r="F156" s="8" t="s">
        <v>154</v>
      </c>
      <c r="G156" s="8"/>
      <c r="H156" s="8"/>
      <c r="I156" s="8"/>
      <c r="J156" s="8"/>
      <c r="K156" s="8"/>
      <c r="L156" s="4" t="s">
        <v>238</v>
      </c>
      <c r="P156" s="8">
        <f t="shared" si="1"/>
        <v>0.8696058352</v>
      </c>
    </row>
    <row r="157" ht="15.75" customHeight="1">
      <c r="A157" s="7">
        <v>151.0</v>
      </c>
      <c r="B157" s="8" t="s">
        <v>155</v>
      </c>
      <c r="C157" s="8" t="s">
        <v>156</v>
      </c>
      <c r="D157" s="8" t="s">
        <v>157</v>
      </c>
      <c r="E157" s="8" t="s">
        <v>14</v>
      </c>
      <c r="F157" s="8" t="s">
        <v>159</v>
      </c>
      <c r="G157" s="8"/>
      <c r="H157" s="8"/>
      <c r="I157" s="8"/>
      <c r="J157" s="8"/>
      <c r="K157" s="8"/>
      <c r="L157" s="4" t="s">
        <v>238</v>
      </c>
      <c r="P157" s="8">
        <f t="shared" si="1"/>
        <v>0.6368761196</v>
      </c>
    </row>
    <row r="158" ht="15.75" customHeight="1">
      <c r="A158" s="7">
        <v>153.0</v>
      </c>
      <c r="B158" s="8" t="s">
        <v>155</v>
      </c>
      <c r="C158" s="8" t="s">
        <v>156</v>
      </c>
      <c r="D158" s="8" t="s">
        <v>157</v>
      </c>
      <c r="E158" s="8" t="s">
        <v>21</v>
      </c>
      <c r="F158" s="8" t="s">
        <v>160</v>
      </c>
      <c r="G158" s="8"/>
      <c r="H158" s="8"/>
      <c r="I158" s="8"/>
      <c r="J158" s="8"/>
      <c r="K158" s="8"/>
      <c r="L158" s="4" t="s">
        <v>238</v>
      </c>
      <c r="P158" s="8">
        <f t="shared" si="1"/>
        <v>0.9596821425</v>
      </c>
    </row>
    <row r="159" ht="15.75" customHeight="1">
      <c r="A159" s="7">
        <v>154.0</v>
      </c>
      <c r="B159" s="8" t="s">
        <v>155</v>
      </c>
      <c r="C159" s="8" t="s">
        <v>156</v>
      </c>
      <c r="D159" s="8" t="s">
        <v>157</v>
      </c>
      <c r="E159" s="8" t="s">
        <v>24</v>
      </c>
      <c r="F159" s="8" t="s">
        <v>161</v>
      </c>
      <c r="G159" s="8"/>
      <c r="H159" s="8"/>
      <c r="I159" s="8"/>
      <c r="J159" s="8"/>
      <c r="K159" s="8"/>
      <c r="L159" s="4" t="s">
        <v>238</v>
      </c>
      <c r="P159" s="8">
        <f t="shared" si="1"/>
        <v>0.866913778</v>
      </c>
    </row>
    <row r="160" ht="15.75" customHeight="1">
      <c r="A160" s="7">
        <v>155.0</v>
      </c>
      <c r="B160" s="8" t="s">
        <v>155</v>
      </c>
      <c r="C160" s="8" t="s">
        <v>156</v>
      </c>
      <c r="D160" s="8" t="s">
        <v>157</v>
      </c>
      <c r="E160" s="8" t="s">
        <v>24</v>
      </c>
      <c r="F160" s="8" t="s">
        <v>162</v>
      </c>
      <c r="G160" s="8"/>
      <c r="H160" s="8"/>
      <c r="I160" s="8"/>
      <c r="J160" s="8"/>
      <c r="K160" s="8"/>
      <c r="L160" s="4" t="s">
        <v>238</v>
      </c>
      <c r="P160" s="8">
        <f t="shared" si="1"/>
        <v>0.8199280631</v>
      </c>
    </row>
    <row r="161" ht="15.75" customHeight="1">
      <c r="A161" s="7">
        <v>156.0</v>
      </c>
      <c r="B161" s="8" t="s">
        <v>155</v>
      </c>
      <c r="C161" s="8" t="s">
        <v>156</v>
      </c>
      <c r="D161" s="8" t="s">
        <v>157</v>
      </c>
      <c r="E161" s="8" t="s">
        <v>29</v>
      </c>
      <c r="F161" s="8" t="s">
        <v>163</v>
      </c>
      <c r="G161" s="8"/>
      <c r="H161" s="8"/>
      <c r="I161" s="8"/>
      <c r="J161" s="8"/>
      <c r="K161" s="8"/>
      <c r="L161" s="4" t="s">
        <v>238</v>
      </c>
      <c r="P161" s="8">
        <f t="shared" si="1"/>
        <v>0.06265018914</v>
      </c>
    </row>
    <row r="162" ht="15.75" customHeight="1">
      <c r="A162" s="7">
        <v>157.0</v>
      </c>
      <c r="B162" s="8" t="s">
        <v>155</v>
      </c>
      <c r="C162" s="8" t="s">
        <v>156</v>
      </c>
      <c r="D162" s="8" t="s">
        <v>157</v>
      </c>
      <c r="E162" s="8" t="s">
        <v>29</v>
      </c>
      <c r="F162" s="8" t="s">
        <v>164</v>
      </c>
      <c r="G162" s="8"/>
      <c r="H162" s="8"/>
      <c r="I162" s="8"/>
      <c r="J162" s="8"/>
      <c r="K162" s="8"/>
      <c r="L162" s="4" t="s">
        <v>238</v>
      </c>
      <c r="P162" s="8">
        <f t="shared" si="1"/>
        <v>0.8099660709</v>
      </c>
    </row>
    <row r="163" ht="15.75" customHeight="1">
      <c r="A163" s="7">
        <v>159.0</v>
      </c>
      <c r="B163" s="8" t="s">
        <v>155</v>
      </c>
      <c r="C163" s="8" t="s">
        <v>156</v>
      </c>
      <c r="D163" s="8" t="s">
        <v>157</v>
      </c>
      <c r="E163" s="8" t="s">
        <v>31</v>
      </c>
      <c r="F163" s="8" t="s">
        <v>165</v>
      </c>
      <c r="G163" s="8"/>
      <c r="H163" s="8"/>
      <c r="I163" s="8"/>
      <c r="J163" s="8"/>
      <c r="K163" s="8"/>
      <c r="L163" s="4" t="s">
        <v>238</v>
      </c>
      <c r="P163" s="8">
        <f t="shared" si="1"/>
        <v>0.04426573491</v>
      </c>
    </row>
    <row r="164" ht="15.75" customHeight="1">
      <c r="A164" s="1"/>
      <c r="B164" s="2"/>
      <c r="C164" s="2"/>
      <c r="D164" s="2"/>
      <c r="E164" s="2"/>
      <c r="F164" s="2"/>
      <c r="G164" s="4"/>
      <c r="H164" s="4"/>
      <c r="I164" s="4"/>
      <c r="J164" s="4"/>
      <c r="K164" s="4"/>
      <c r="M164" s="4"/>
      <c r="N164" s="4"/>
      <c r="O164" s="4"/>
      <c r="P164" s="4"/>
    </row>
    <row r="166" ht="15.75" customHeight="1">
      <c r="G166" s="8"/>
      <c r="H166" s="8"/>
      <c r="I166" s="8"/>
      <c r="J166" s="8"/>
      <c r="K166" s="8"/>
    </row>
    <row r="167" ht="15.75" customHeight="1">
      <c r="A167" s="8">
        <f>MAX(A2:A163)</f>
        <v>161</v>
      </c>
      <c r="G167" s="8"/>
      <c r="H167" s="8"/>
      <c r="I167" s="8"/>
      <c r="J167" s="8"/>
      <c r="K167" s="8"/>
    </row>
    <row r="168" ht="15.75" customHeight="1">
      <c r="G168" s="8"/>
      <c r="H168" s="8"/>
      <c r="I168" s="8"/>
      <c r="J168" s="8"/>
      <c r="K168" s="8"/>
    </row>
    <row r="169" ht="15.75" customHeight="1">
      <c r="G169" s="8"/>
      <c r="H169" s="8"/>
      <c r="I169" s="8"/>
      <c r="J169" s="8"/>
      <c r="K169" s="8"/>
    </row>
    <row r="170" ht="15.75" customHeight="1">
      <c r="G170" s="8"/>
      <c r="H170" s="8"/>
      <c r="I170" s="8"/>
      <c r="J170" s="8"/>
      <c r="K170" s="8"/>
    </row>
    <row r="171" ht="15.75" customHeight="1">
      <c r="G171" s="8"/>
      <c r="H171" s="8"/>
      <c r="I171" s="8"/>
      <c r="J171" s="8"/>
      <c r="K171" s="8"/>
    </row>
    <row r="172" ht="15.75" customHeight="1">
      <c r="G172" s="8"/>
      <c r="H172" s="8"/>
      <c r="I172" s="8"/>
      <c r="J172" s="8"/>
      <c r="K172" s="8"/>
    </row>
    <row r="173" ht="15.75" customHeight="1">
      <c r="G173" s="8"/>
      <c r="H173" s="8"/>
      <c r="I173" s="8"/>
      <c r="J173" s="8"/>
      <c r="K173" s="8"/>
    </row>
    <row r="174" ht="15.75" customHeight="1">
      <c r="G174" s="8"/>
      <c r="H174" s="8"/>
      <c r="I174" s="8"/>
      <c r="J174" s="8"/>
      <c r="K174" s="8"/>
    </row>
    <row r="175" ht="15.75" customHeight="1">
      <c r="G175" s="8"/>
      <c r="H175" s="8"/>
      <c r="I175" s="8"/>
      <c r="J175" s="8"/>
      <c r="K175" s="8"/>
    </row>
    <row r="176" ht="15.75" customHeight="1">
      <c r="G176" s="8"/>
      <c r="H176" s="8"/>
      <c r="I176" s="8"/>
      <c r="J176" s="8"/>
      <c r="K176" s="8"/>
    </row>
    <row r="177" ht="15.75" customHeight="1">
      <c r="G177" s="8"/>
      <c r="H177" s="8"/>
      <c r="I177" s="8"/>
      <c r="J177" s="8"/>
      <c r="K177" s="8"/>
    </row>
    <row r="178" ht="15.75" customHeight="1">
      <c r="G178" s="8"/>
      <c r="H178" s="8"/>
      <c r="I178" s="8"/>
      <c r="J178" s="8"/>
      <c r="K178" s="8"/>
    </row>
    <row r="179" ht="15.75" customHeight="1">
      <c r="G179" s="8"/>
      <c r="H179" s="8"/>
      <c r="I179" s="8"/>
      <c r="J179" s="8"/>
      <c r="K179" s="8"/>
    </row>
    <row r="180" ht="15.75" customHeight="1">
      <c r="G180" s="8"/>
      <c r="H180" s="8"/>
      <c r="I180" s="8"/>
      <c r="J180" s="8"/>
      <c r="K180" s="8"/>
    </row>
    <row r="181" ht="15.75" customHeight="1">
      <c r="G181" s="8"/>
      <c r="H181" s="8"/>
      <c r="I181" s="8"/>
      <c r="J181" s="8"/>
      <c r="K181" s="8"/>
    </row>
    <row r="182" ht="15.75" customHeight="1">
      <c r="G182" s="8"/>
      <c r="H182" s="8"/>
      <c r="I182" s="8"/>
      <c r="J182" s="8"/>
      <c r="K182" s="8"/>
    </row>
    <row r="183" ht="15.75" customHeight="1">
      <c r="G183" s="8"/>
      <c r="H183" s="8"/>
      <c r="I183" s="8"/>
      <c r="J183" s="8"/>
      <c r="K183" s="8"/>
    </row>
    <row r="184" ht="15.75" customHeight="1">
      <c r="G184" s="8"/>
      <c r="H184" s="8"/>
      <c r="I184" s="8"/>
      <c r="J184" s="8"/>
      <c r="K184" s="8"/>
    </row>
    <row r="185" ht="15.75" customHeight="1">
      <c r="G185" s="8"/>
      <c r="H185" s="8"/>
      <c r="I185" s="8"/>
      <c r="J185" s="8"/>
      <c r="K185" s="8"/>
    </row>
    <row r="186" ht="15.75" customHeight="1">
      <c r="G186" s="8"/>
      <c r="H186" s="8"/>
      <c r="I186" s="8"/>
      <c r="J186" s="8"/>
      <c r="K186" s="8"/>
    </row>
    <row r="187" ht="15.75" customHeight="1">
      <c r="G187" s="8"/>
      <c r="H187" s="8"/>
      <c r="I187" s="8"/>
      <c r="J187" s="8"/>
      <c r="K187" s="8"/>
    </row>
    <row r="188" ht="15.75" customHeight="1">
      <c r="G188" s="8"/>
      <c r="H188" s="8"/>
      <c r="I188" s="8"/>
      <c r="J188" s="8"/>
      <c r="K188" s="8"/>
    </row>
    <row r="189" ht="15.75" customHeight="1">
      <c r="G189" s="8"/>
      <c r="H189" s="8"/>
      <c r="I189" s="8"/>
      <c r="J189" s="8"/>
      <c r="K189" s="8"/>
    </row>
    <row r="190" ht="15.75" customHeight="1">
      <c r="G190" s="8"/>
      <c r="H190" s="8"/>
      <c r="I190" s="8"/>
      <c r="J190" s="8"/>
      <c r="K190" s="8"/>
    </row>
    <row r="191" ht="15.75" customHeight="1">
      <c r="G191" s="8"/>
      <c r="H191" s="8"/>
      <c r="I191" s="8"/>
      <c r="J191" s="8"/>
      <c r="K191" s="8"/>
    </row>
    <row r="192" ht="15.75" customHeight="1">
      <c r="G192" s="8"/>
      <c r="H192" s="8"/>
      <c r="I192" s="8"/>
      <c r="J192" s="8"/>
      <c r="K192" s="8"/>
    </row>
    <row r="193" ht="15.75" customHeight="1">
      <c r="G193" s="8"/>
      <c r="H193" s="8"/>
      <c r="I193" s="8"/>
      <c r="J193" s="8"/>
      <c r="K193" s="8"/>
    </row>
    <row r="194" ht="15.75" customHeight="1">
      <c r="G194" s="8"/>
      <c r="H194" s="8"/>
      <c r="I194" s="8"/>
      <c r="J194" s="8"/>
      <c r="K194" s="8"/>
    </row>
    <row r="195" ht="15.75" customHeight="1">
      <c r="G195" s="8"/>
      <c r="H195" s="8"/>
      <c r="I195" s="8"/>
      <c r="J195" s="8"/>
      <c r="K195" s="8"/>
    </row>
    <row r="196" ht="15.75" customHeight="1">
      <c r="G196" s="8"/>
      <c r="H196" s="8"/>
      <c r="I196" s="8"/>
      <c r="J196" s="8"/>
      <c r="K196" s="8"/>
    </row>
    <row r="197" ht="15.75" customHeight="1">
      <c r="G197" s="8"/>
      <c r="H197" s="8"/>
      <c r="I197" s="8"/>
      <c r="J197" s="8"/>
      <c r="K197" s="8"/>
    </row>
    <row r="198" ht="15.75" customHeight="1">
      <c r="G198" s="8"/>
      <c r="H198" s="8"/>
      <c r="I198" s="8"/>
      <c r="J198" s="8"/>
      <c r="K198" s="8"/>
    </row>
    <row r="199" ht="15.75" customHeight="1">
      <c r="G199" s="8"/>
      <c r="H199" s="8"/>
      <c r="I199" s="8"/>
      <c r="J199" s="8"/>
      <c r="K199" s="8"/>
    </row>
    <row r="200" ht="15.75" customHeight="1">
      <c r="G200" s="8"/>
      <c r="H200" s="8"/>
      <c r="I200" s="8"/>
      <c r="J200" s="8"/>
      <c r="K200" s="8"/>
    </row>
    <row r="201" ht="15.75" customHeight="1">
      <c r="G201" s="8"/>
      <c r="H201" s="8"/>
      <c r="I201" s="8"/>
      <c r="J201" s="8"/>
      <c r="K201" s="8"/>
    </row>
    <row r="202" ht="15.75" customHeight="1">
      <c r="G202" s="8"/>
      <c r="H202" s="8"/>
      <c r="I202" s="8"/>
      <c r="J202" s="8"/>
      <c r="K202" s="8"/>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howErrorMessage="1" sqref="I2:I163 I166:I202">
      <formula1>"Not long term,Long term/historical"</formula1>
    </dataValidation>
    <dataValidation type="list" allowBlank="1" showErrorMessage="1" sqref="K2:K163 K166:K202">
      <formula1>"Keep,Discard"</formula1>
    </dataValidation>
    <dataValidation type="list" allowBlank="1" showErrorMessage="1" sqref="H2:H163 H166:H202">
      <formula1>"Not too political,Too political"</formula1>
    </dataValidation>
    <dataValidation type="list" allowBlank="1" showErrorMessage="1" sqref="G2:G163 G166:G202">
      <formula1>"Relevant,Not relevant"</formula1>
    </dataValidation>
    <dataValidation type="list" allowBlank="1" showErrorMessage="1" sqref="J2:J163 J166:J202">
      <formula1>"Good,Too general/too specific"</formula1>
    </dataValidation>
  </dataValidations>
  <printOptions/>
  <pageMargins bottom="0.75" footer="0.0" header="0.0" left="0.7" right="0.7" top="0.75"/>
  <pageSetup orientation="landscape"/>
  <drawing r:id="rId1"/>
</worksheet>
</file>